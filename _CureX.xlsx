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Transactions" sheetId="2" r:id="rId6"/>
    <sheet state="visible" name="Inventory Balance" sheetId="3" r:id="rId7"/>
  </sheets>
  <definedNames/>
  <calcPr/>
</workbook>
</file>

<file path=xl/sharedStrings.xml><?xml version="1.0" encoding="utf-8"?>
<sst xmlns="http://schemas.openxmlformats.org/spreadsheetml/2006/main" count="385" uniqueCount="162">
  <si>
    <t>Item Code</t>
  </si>
  <si>
    <t>Transaction ID</t>
  </si>
  <si>
    <t>Item Name</t>
  </si>
  <si>
    <t xml:space="preserve"> Category</t>
  </si>
  <si>
    <t>Date</t>
  </si>
  <si>
    <t>Unit</t>
  </si>
  <si>
    <t>Total Bought</t>
  </si>
  <si>
    <t>Total Sold</t>
  </si>
  <si>
    <t>Transaction Type</t>
  </si>
  <si>
    <t>Current Balance</t>
  </si>
  <si>
    <t>Reorder Point</t>
  </si>
  <si>
    <t>Purchase Price</t>
  </si>
  <si>
    <t>Selling Price</t>
  </si>
  <si>
    <t>Quantity</t>
  </si>
  <si>
    <t>P001</t>
  </si>
  <si>
    <t>Client / Supplier Name</t>
  </si>
  <si>
    <t>Total Amount</t>
  </si>
  <si>
    <t>جهاز الضغط الإلكتروني</t>
  </si>
  <si>
    <t>مستلزمات طبية - أجهزة فحص</t>
  </si>
  <si>
    <t>TRN-001</t>
  </si>
  <si>
    <t>قطع</t>
  </si>
  <si>
    <t>buy</t>
  </si>
  <si>
    <t>P002</t>
  </si>
  <si>
    <t>جهاز السكر المنزلي</t>
  </si>
  <si>
    <t>OrbitMedical</t>
  </si>
  <si>
    <t>P003</t>
  </si>
  <si>
    <t>مقياس الأكسجين المحمول</t>
  </si>
  <si>
    <t>P004</t>
  </si>
  <si>
    <t>سماعة الطبيب الطبية</t>
  </si>
  <si>
    <t>P005</t>
  </si>
  <si>
    <t>مقياس الحرارة الرقمي</t>
  </si>
  <si>
    <t>قطعة</t>
  </si>
  <si>
    <t>P006</t>
  </si>
  <si>
    <t>ترمومتر ليزر عن بعد</t>
  </si>
  <si>
    <t>P007</t>
  </si>
  <si>
    <t>جهاز رسم القلب المحمول</t>
  </si>
  <si>
    <t>P008</t>
  </si>
  <si>
    <t>مصباح الفحص اليدوي</t>
  </si>
  <si>
    <t>P009</t>
  </si>
  <si>
    <t>مطرقة فحص الأعصاب</t>
  </si>
  <si>
    <t>P010</t>
  </si>
  <si>
    <t>منظار الأذن الطبي</t>
  </si>
  <si>
    <t>P011</t>
  </si>
  <si>
    <t>قفازات نيتريل معقمة (علبة)</t>
  </si>
  <si>
    <t>مستلزمات طبية - استهلاكية</t>
  </si>
  <si>
    <t>علبة</t>
  </si>
  <si>
    <t>P012</t>
  </si>
  <si>
    <t>كمامات جراحية (علبة)</t>
  </si>
  <si>
    <t>P013</t>
  </si>
  <si>
    <t>سرنجات مقاس 3 مل (علبة)</t>
  </si>
  <si>
    <t>P014</t>
  </si>
  <si>
    <t>كانيولا وريدية زرقاء (علبة)</t>
  </si>
  <si>
    <t>P015</t>
  </si>
  <si>
    <t>شرائط فحص السكر (علبة)</t>
  </si>
  <si>
    <t>P016</t>
  </si>
  <si>
    <t>شاش طبي معقم</t>
  </si>
  <si>
    <t>باكيت</t>
  </si>
  <si>
    <t>P017</t>
  </si>
  <si>
    <t>بكرة قطن طبي (كيلو)</t>
  </si>
  <si>
    <t>بكرات</t>
  </si>
  <si>
    <t>P018</t>
  </si>
  <si>
    <t>كحول إيثيلي 70% (جالون)</t>
  </si>
  <si>
    <t>جالونات</t>
  </si>
  <si>
    <t>P019</t>
  </si>
  <si>
    <t>جل السونار الطبي (جالون)</t>
  </si>
  <si>
    <t>TRN-002</t>
  </si>
  <si>
    <t>P020</t>
  </si>
  <si>
    <t>بلاستر طبي للجروح (علبة)</t>
  </si>
  <si>
    <t>TRN-003</t>
  </si>
  <si>
    <t>TRN-004</t>
  </si>
  <si>
    <t>TRN-005</t>
  </si>
  <si>
    <t>TRN-006</t>
  </si>
  <si>
    <t>TRN-007</t>
  </si>
  <si>
    <t>Vitalis Supplies</t>
  </si>
  <si>
    <t>TRN-008</t>
  </si>
  <si>
    <t>TRN-009</t>
  </si>
  <si>
    <t>TRN-010</t>
  </si>
  <si>
    <t>TRN-011</t>
  </si>
  <si>
    <t>ApexCare</t>
  </si>
  <si>
    <t>TRN-012</t>
  </si>
  <si>
    <t>TRN-013</t>
  </si>
  <si>
    <t>TRN-014</t>
  </si>
  <si>
    <t>TRN-015</t>
  </si>
  <si>
    <t>CuroMed</t>
  </si>
  <si>
    <t>TRN-016</t>
  </si>
  <si>
    <t>TRN-017</t>
  </si>
  <si>
    <t>TRN-018</t>
  </si>
  <si>
    <t>TRN-019</t>
  </si>
  <si>
    <t>TRN-020</t>
  </si>
  <si>
    <t>TRN-021</t>
  </si>
  <si>
    <t>sell</t>
  </si>
  <si>
    <t>Fatima Al-Zahra</t>
  </si>
  <si>
    <t>TRN-022</t>
  </si>
  <si>
    <t>Mona Ahmed</t>
  </si>
  <si>
    <t>TRN-023</t>
  </si>
  <si>
    <t>Sarah Mohamed</t>
  </si>
  <si>
    <t>TRN-024</t>
  </si>
  <si>
    <t>Aya Hassan</t>
  </si>
  <si>
    <t>TRN-025</t>
  </si>
  <si>
    <t>Reem Youssef</t>
  </si>
  <si>
    <t>TRN-026</t>
  </si>
  <si>
    <t>Nour El-Din</t>
  </si>
  <si>
    <t>TRN-027</t>
  </si>
  <si>
    <t>Asma Ali</t>
  </si>
  <si>
    <t>TRN-028</t>
  </si>
  <si>
    <t>Layla Mahmoud</t>
  </si>
  <si>
    <t>TRN-029</t>
  </si>
  <si>
    <t>Dina Abdelaziz</t>
  </si>
  <si>
    <t>TRN-030</t>
  </si>
  <si>
    <t>Heba Mostafa</t>
  </si>
  <si>
    <t>TRN-031</t>
  </si>
  <si>
    <t>Yasmin Khaled</t>
  </si>
  <si>
    <t>TRN-032</t>
  </si>
  <si>
    <t>Rania Tariq</t>
  </si>
  <si>
    <t>TRN-033</t>
  </si>
  <si>
    <t>Mai Ibrahim</t>
  </si>
  <si>
    <t>TRN-034</t>
  </si>
  <si>
    <t>Nada Waleed</t>
  </si>
  <si>
    <t>TRN-035</t>
  </si>
  <si>
    <t>Ghadir Salem</t>
  </si>
  <si>
    <t>TRN-036</t>
  </si>
  <si>
    <t>Sally Amr</t>
  </si>
  <si>
    <t>TRN-037</t>
  </si>
  <si>
    <t>Ola Sharif</t>
  </si>
  <si>
    <t>TRN-038</t>
  </si>
  <si>
    <t>Maha Saeed</t>
  </si>
  <si>
    <t>TRN-039</t>
  </si>
  <si>
    <t>Engy Hany</t>
  </si>
  <si>
    <t>TRN-040</t>
  </si>
  <si>
    <t>Shaimaa Ramy</t>
  </si>
  <si>
    <t>TRN-041</t>
  </si>
  <si>
    <t>TRN-042</t>
  </si>
  <si>
    <t>TRN-043</t>
  </si>
  <si>
    <t>Magdy Anwar</t>
  </si>
  <si>
    <t>TRN-044</t>
  </si>
  <si>
    <t>Medhat Wagdy</t>
  </si>
  <si>
    <t>TRN-045</t>
  </si>
  <si>
    <t>Ashraf Samir</t>
  </si>
  <si>
    <t>TRN-046</t>
  </si>
  <si>
    <t>Sameh Nashaat</t>
  </si>
  <si>
    <t>TRN-047</t>
  </si>
  <si>
    <t>TRN-048</t>
  </si>
  <si>
    <t>TRN-049</t>
  </si>
  <si>
    <t>TRN-050</t>
  </si>
  <si>
    <t>TRN-051</t>
  </si>
  <si>
    <t>TRN-052</t>
  </si>
  <si>
    <t>TRN-053</t>
  </si>
  <si>
    <t>TRN-054</t>
  </si>
  <si>
    <t>TRN-055</t>
  </si>
  <si>
    <t>TRN-056</t>
  </si>
  <si>
    <t>TRN-057</t>
  </si>
  <si>
    <t>TRN-058</t>
  </si>
  <si>
    <t>TRN-059</t>
  </si>
  <si>
    <t>Alaa Mansour</t>
  </si>
  <si>
    <t>TRN-060</t>
  </si>
  <si>
    <t>Bassem Raafat</t>
  </si>
  <si>
    <t>TRN-061</t>
  </si>
  <si>
    <t>TRN-062</t>
  </si>
  <si>
    <t>TRN-063</t>
  </si>
  <si>
    <t>TRN-064</t>
  </si>
  <si>
    <t>TRN-065</t>
  </si>
  <si>
    <t>TRN-066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</si>
</sst>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sz val="11.0"/>
      <color rgb="FFFFFFFF"/>
      <name val="Calibri"/>
    </font>
    <font>
      <sz val="11.0"/>
      <color theme="1"/>
      <name val="Calibri"/>
    </font>
    <font>
      <sz val="12.0"/>
      <color theme="1"/>
      <name val="Google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4">
    <border/>
    <border>
      <right style="thin">
        <color rgb="FF9BC2E6"/>
      </righ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horizontal="right" readingOrder="2" vertical="bottom"/>
    </xf>
    <xf borderId="2" fillId="2" fontId="3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2" fillId="3" fontId="4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horizontal="right" vertical="bottom"/>
    </xf>
    <xf borderId="2" fillId="3" fontId="4" numFmtId="0" xfId="0" applyAlignment="1" applyBorder="1" applyFill="1" applyFont="1">
      <alignment horizontal="center" vertical="bottom"/>
    </xf>
    <xf borderId="0" fillId="3" fontId="2" numFmtId="164" xfId="0" applyAlignment="1" applyFill="1" applyFont="1" applyNumberFormat="1">
      <alignment horizontal="right" vertical="bottom"/>
    </xf>
    <xf borderId="3" fillId="3" fontId="4" numFmtId="0" xfId="0" applyAlignment="1" applyBorder="1" applyFill="1" applyFont="1">
      <alignment horizontal="right" vertical="bottom"/>
    </xf>
    <xf borderId="0" fillId="3" fontId="5" numFmtId="0" xfId="0" applyAlignment="1" applyFill="1" applyFont="1">
      <alignment vertical="bottom"/>
    </xf>
    <xf borderId="0" fillId="3" fontId="2" numFmtId="0" xfId="0" applyAlignment="1" applyFill="1" applyFont="1">
      <alignment horizontal="right" readingOrder="2" vertical="bottom"/>
    </xf>
    <xf borderId="0" fillId="3" fontId="2" numFmtId="0" xfId="0" applyAlignment="1" applyFill="1" applyFont="1">
      <alignment horizontal="right" vertical="bottom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horizontal="right" readingOrder="2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6"/>
      <c r="E1" s="1" t="s">
        <v>11</v>
      </c>
      <c r="F1" s="1" t="s">
        <v>12</v>
      </c>
      <c r="G1" s="1" t="s">
        <v>10</v>
      </c>
      <c r="H1" s="7"/>
      <c r="I1" s="7"/>
    </row>
    <row r="2">
      <c r="A2" s="8" t="s">
        <v>14</v>
      </c>
      <c r="B2" s="10" t="s">
        <v>17</v>
      </c>
      <c r="C2" s="8" t="s">
        <v>18</v>
      </c>
      <c r="D2" s="11" t="s">
        <v>20</v>
      </c>
      <c r="E2" s="13">
        <v>950.0</v>
      </c>
      <c r="F2" s="13">
        <v>1400.0</v>
      </c>
      <c r="G2" s="13">
        <v>5.0</v>
      </c>
      <c r="H2" s="7"/>
      <c r="I2" s="7"/>
    </row>
    <row r="3">
      <c r="A3" s="8" t="s">
        <v>22</v>
      </c>
      <c r="B3" s="10" t="s">
        <v>23</v>
      </c>
      <c r="C3" s="8" t="s">
        <v>18</v>
      </c>
      <c r="D3" s="11" t="s">
        <v>20</v>
      </c>
      <c r="E3" s="13">
        <v>380.0</v>
      </c>
      <c r="F3" s="13">
        <v>550.0</v>
      </c>
      <c r="G3" s="13">
        <v>5.0</v>
      </c>
      <c r="H3" s="7"/>
      <c r="I3" s="7"/>
    </row>
    <row r="4">
      <c r="A4" s="8" t="s">
        <v>25</v>
      </c>
      <c r="B4" s="10" t="s">
        <v>26</v>
      </c>
      <c r="C4" s="8" t="s">
        <v>18</v>
      </c>
      <c r="D4" s="11" t="s">
        <v>20</v>
      </c>
      <c r="E4" s="13">
        <v>320.0</v>
      </c>
      <c r="F4" s="13">
        <v>550.0</v>
      </c>
      <c r="G4" s="13">
        <v>4.0</v>
      </c>
      <c r="H4" s="7"/>
      <c r="I4" s="7"/>
    </row>
    <row r="5">
      <c r="A5" s="8" t="s">
        <v>27</v>
      </c>
      <c r="B5" s="10" t="s">
        <v>28</v>
      </c>
      <c r="C5" s="8" t="s">
        <v>18</v>
      </c>
      <c r="D5" s="11" t="s">
        <v>20</v>
      </c>
      <c r="E5" s="13">
        <v>450.0</v>
      </c>
      <c r="F5" s="13">
        <v>750.0</v>
      </c>
      <c r="G5" s="13">
        <v>3.0</v>
      </c>
      <c r="H5" s="7"/>
      <c r="I5" s="7"/>
    </row>
    <row r="6">
      <c r="A6" s="8" t="s">
        <v>29</v>
      </c>
      <c r="B6" s="10" t="s">
        <v>30</v>
      </c>
      <c r="C6" s="8" t="s">
        <v>18</v>
      </c>
      <c r="D6" s="11" t="s">
        <v>31</v>
      </c>
      <c r="E6" s="13">
        <v>55.0</v>
      </c>
      <c r="F6" s="13">
        <v>90.0</v>
      </c>
      <c r="G6" s="13">
        <v>15.0</v>
      </c>
      <c r="H6" s="7"/>
      <c r="I6" s="7"/>
    </row>
    <row r="7">
      <c r="A7" s="8" t="s">
        <v>32</v>
      </c>
      <c r="B7" s="10" t="s">
        <v>33</v>
      </c>
      <c r="C7" s="8" t="s">
        <v>18</v>
      </c>
      <c r="D7" s="11" t="s">
        <v>20</v>
      </c>
      <c r="E7" s="13">
        <v>480.0</v>
      </c>
      <c r="F7" s="13">
        <v>700.0</v>
      </c>
      <c r="G7" s="13">
        <v>3.0</v>
      </c>
      <c r="H7" s="7"/>
      <c r="I7" s="7"/>
    </row>
    <row r="8">
      <c r="A8" s="8" t="s">
        <v>34</v>
      </c>
      <c r="B8" s="10" t="s">
        <v>35</v>
      </c>
      <c r="C8" s="8" t="s">
        <v>18</v>
      </c>
      <c r="D8" s="11" t="s">
        <v>31</v>
      </c>
      <c r="E8" s="13">
        <v>26000.0</v>
      </c>
      <c r="F8" s="13">
        <v>33000.0</v>
      </c>
      <c r="G8" s="13">
        <v>1.0</v>
      </c>
      <c r="H8" s="7"/>
      <c r="I8" s="7"/>
    </row>
    <row r="9">
      <c r="A9" s="8" t="s">
        <v>36</v>
      </c>
      <c r="B9" s="10" t="s">
        <v>37</v>
      </c>
      <c r="C9" s="8" t="s">
        <v>18</v>
      </c>
      <c r="D9" s="11" t="s">
        <v>20</v>
      </c>
      <c r="E9" s="13">
        <v>85.0</v>
      </c>
      <c r="F9" s="13">
        <v>150.0</v>
      </c>
      <c r="G9" s="13">
        <v>3.0</v>
      </c>
      <c r="H9" s="7"/>
      <c r="I9" s="7"/>
      <c r="L9" s="17"/>
    </row>
    <row r="10">
      <c r="A10" s="8" t="s">
        <v>38</v>
      </c>
      <c r="B10" s="10" t="s">
        <v>39</v>
      </c>
      <c r="C10" s="8" t="s">
        <v>18</v>
      </c>
      <c r="D10" s="11" t="s">
        <v>20</v>
      </c>
      <c r="E10" s="13">
        <v>95.0</v>
      </c>
      <c r="F10" s="13">
        <v>160.0</v>
      </c>
      <c r="G10" s="13">
        <v>3.0</v>
      </c>
      <c r="H10" s="7"/>
      <c r="I10" s="7"/>
    </row>
    <row r="11">
      <c r="A11" s="8" t="s">
        <v>40</v>
      </c>
      <c r="B11" s="10" t="s">
        <v>41</v>
      </c>
      <c r="C11" s="8" t="s">
        <v>18</v>
      </c>
      <c r="D11" s="11" t="s">
        <v>31</v>
      </c>
      <c r="E11" s="13">
        <v>1300.0</v>
      </c>
      <c r="F11" s="13">
        <v>1900.0</v>
      </c>
      <c r="G11" s="13">
        <v>2.0</v>
      </c>
      <c r="H11" s="7"/>
      <c r="I11" s="7"/>
    </row>
    <row r="12">
      <c r="A12" s="8" t="s">
        <v>42</v>
      </c>
      <c r="B12" s="10" t="s">
        <v>43</v>
      </c>
      <c r="C12" s="10" t="s">
        <v>44</v>
      </c>
      <c r="D12" s="11" t="s">
        <v>45</v>
      </c>
      <c r="E12" s="13">
        <v>185.0</v>
      </c>
      <c r="F12" s="13">
        <v>260.0</v>
      </c>
      <c r="G12" s="13">
        <v>20.0</v>
      </c>
      <c r="H12" s="7"/>
      <c r="I12" s="7"/>
    </row>
    <row r="13">
      <c r="A13" s="8" t="s">
        <v>46</v>
      </c>
      <c r="B13" s="10" t="s">
        <v>47</v>
      </c>
      <c r="C13" s="10" t="s">
        <v>44</v>
      </c>
      <c r="D13" s="11" t="s">
        <v>45</v>
      </c>
      <c r="E13" s="13">
        <v>45.0</v>
      </c>
      <c r="F13" s="13">
        <v>75.0</v>
      </c>
      <c r="G13" s="13">
        <v>30.0</v>
      </c>
      <c r="H13" s="7"/>
      <c r="I13" s="7"/>
    </row>
    <row r="14">
      <c r="A14" s="8" t="s">
        <v>48</v>
      </c>
      <c r="B14" s="10" t="s">
        <v>49</v>
      </c>
      <c r="C14" s="10" t="s">
        <v>44</v>
      </c>
      <c r="D14" s="11" t="s">
        <v>45</v>
      </c>
      <c r="E14" s="13">
        <v>125.0</v>
      </c>
      <c r="F14" s="13">
        <v>180.0</v>
      </c>
      <c r="G14" s="13">
        <v>15.0</v>
      </c>
      <c r="H14" s="7"/>
      <c r="I14" s="7"/>
    </row>
    <row r="15">
      <c r="A15" s="8" t="s">
        <v>50</v>
      </c>
      <c r="B15" s="10" t="s">
        <v>51</v>
      </c>
      <c r="C15" s="10" t="s">
        <v>44</v>
      </c>
      <c r="D15" s="11" t="s">
        <v>45</v>
      </c>
      <c r="E15" s="13">
        <v>310.0</v>
      </c>
      <c r="F15" s="13">
        <v>450.0</v>
      </c>
      <c r="G15" s="13">
        <v>10.0</v>
      </c>
      <c r="H15" s="7"/>
      <c r="I15" s="7"/>
    </row>
    <row r="16">
      <c r="A16" s="8" t="s">
        <v>52</v>
      </c>
      <c r="B16" s="10" t="s">
        <v>53</v>
      </c>
      <c r="C16" s="10" t="s">
        <v>44</v>
      </c>
      <c r="D16" s="11" t="s">
        <v>45</v>
      </c>
      <c r="E16" s="13">
        <v>270.0</v>
      </c>
      <c r="F16" s="13">
        <v>350.0</v>
      </c>
      <c r="G16" s="13">
        <v>25.0</v>
      </c>
      <c r="H16" s="7"/>
      <c r="I16" s="7"/>
    </row>
    <row r="17">
      <c r="A17" s="8" t="s">
        <v>54</v>
      </c>
      <c r="B17" s="10" t="s">
        <v>55</v>
      </c>
      <c r="C17" s="10" t="s">
        <v>44</v>
      </c>
      <c r="D17" s="11" t="s">
        <v>56</v>
      </c>
      <c r="E17" s="13">
        <v>150.0</v>
      </c>
      <c r="F17" s="13">
        <v>210.0</v>
      </c>
      <c r="G17" s="13">
        <v>15.0</v>
      </c>
      <c r="H17" s="7"/>
      <c r="I17" s="7"/>
    </row>
    <row r="18">
      <c r="A18" s="8" t="s">
        <v>57</v>
      </c>
      <c r="B18" s="10" t="s">
        <v>58</v>
      </c>
      <c r="C18" s="10" t="s">
        <v>44</v>
      </c>
      <c r="D18" s="11" t="s">
        <v>59</v>
      </c>
      <c r="E18" s="13">
        <v>165.0</v>
      </c>
      <c r="F18" s="13">
        <v>220.0</v>
      </c>
      <c r="G18" s="13">
        <v>10.0</v>
      </c>
      <c r="H18" s="7"/>
      <c r="I18" s="7"/>
    </row>
    <row r="19">
      <c r="A19" s="8" t="s">
        <v>60</v>
      </c>
      <c r="B19" s="10" t="s">
        <v>61</v>
      </c>
      <c r="C19" s="10" t="s">
        <v>44</v>
      </c>
      <c r="D19" s="11" t="s">
        <v>62</v>
      </c>
      <c r="E19" s="13">
        <v>260.0</v>
      </c>
      <c r="F19" s="13">
        <v>360.0</v>
      </c>
      <c r="G19" s="13">
        <v>5.0</v>
      </c>
      <c r="H19" s="7"/>
      <c r="I19" s="7"/>
    </row>
    <row r="20">
      <c r="A20" s="8" t="s">
        <v>63</v>
      </c>
      <c r="B20" s="10" t="s">
        <v>64</v>
      </c>
      <c r="C20" s="10" t="s">
        <v>44</v>
      </c>
      <c r="D20" s="11" t="s">
        <v>62</v>
      </c>
      <c r="E20" s="13">
        <v>155.0</v>
      </c>
      <c r="F20" s="13">
        <v>240.0</v>
      </c>
      <c r="G20" s="13">
        <v>4.0</v>
      </c>
      <c r="H20" s="7"/>
      <c r="I20" s="7"/>
    </row>
    <row r="21">
      <c r="A21" s="8" t="s">
        <v>66</v>
      </c>
      <c r="B21" s="10" t="s">
        <v>67</v>
      </c>
      <c r="C21" s="10" t="s">
        <v>44</v>
      </c>
      <c r="D21" s="11" t="s">
        <v>45</v>
      </c>
      <c r="E21" s="13">
        <v>50.0</v>
      </c>
      <c r="F21" s="13">
        <v>90.0</v>
      </c>
      <c r="G21" s="13">
        <v>15.0</v>
      </c>
      <c r="H21" s="7"/>
      <c r="I21" s="7"/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>
      <c r="A23" s="7"/>
      <c r="B23" s="7"/>
      <c r="C23" s="7"/>
      <c r="D23" s="7"/>
      <c r="E23" s="7"/>
      <c r="F23" s="7"/>
      <c r="G23" s="7"/>
      <c r="H23" s="7"/>
      <c r="I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3" t="s">
        <v>1</v>
      </c>
      <c r="B1" s="5" t="s">
        <v>4</v>
      </c>
      <c r="C1" s="5" t="s">
        <v>8</v>
      </c>
      <c r="D1" s="5" t="s">
        <v>0</v>
      </c>
      <c r="E1" s="5" t="s">
        <v>13</v>
      </c>
      <c r="F1" s="5" t="s">
        <v>15</v>
      </c>
      <c r="G1" s="5" t="s">
        <v>2</v>
      </c>
      <c r="H1" s="9" t="s">
        <v>16</v>
      </c>
      <c r="I1" s="7"/>
    </row>
    <row r="2">
      <c r="A2" s="8" t="s">
        <v>19</v>
      </c>
      <c r="B2" s="12">
        <v>46234.0</v>
      </c>
      <c r="C2" s="14" t="s">
        <v>21</v>
      </c>
      <c r="D2" s="8" t="s">
        <v>14</v>
      </c>
      <c r="E2" s="10">
        <v>15.0</v>
      </c>
      <c r="F2" s="2" t="s">
        <v>24</v>
      </c>
      <c r="G2" s="16" t="str">
        <f t="array" ref="G2">_xlfn.XLOOKUP(D2, Products!A:A, Products!B:B, "Not Found")</f>
        <v>جهاز الضغط الإلكتروني</v>
      </c>
      <c r="H2" s="13">
        <f>IF(C2="buy", E2*VLOOKUP(D2, Products!A:F, 5, FALSE), IF(C2="sell", E2*VLOOKUP(D2, Products!A:F, 6, FALSE), 0))
</f>
        <v>14250</v>
      </c>
      <c r="I2" s="7"/>
    </row>
    <row r="3">
      <c r="A3" s="2" t="s">
        <v>65</v>
      </c>
      <c r="B3" s="12">
        <v>46234.0</v>
      </c>
      <c r="C3" s="14" t="s">
        <v>21</v>
      </c>
      <c r="D3" s="8" t="s">
        <v>22</v>
      </c>
      <c r="E3" s="10">
        <v>30.0</v>
      </c>
      <c r="F3" s="2" t="s">
        <v>24</v>
      </c>
      <c r="G3" s="16" t="str">
        <f t="array" ref="G3">_xlfn.XLOOKUP(D3, Products!A:A, Products!B:B, "Not Found")</f>
        <v>جهاز السكر المنزلي</v>
      </c>
      <c r="H3" s="13">
        <f>IF(C3="buy", E3*VLOOKUP(D3, Products!A:F, 5, FALSE), IF(C3="sell", E3*VLOOKUP(D3, Products!A:F, 6, FALSE), 0))
</f>
        <v>11400</v>
      </c>
      <c r="I3" s="7"/>
    </row>
    <row r="4">
      <c r="A4" s="2" t="s">
        <v>68</v>
      </c>
      <c r="B4" s="12">
        <v>46234.0</v>
      </c>
      <c r="C4" s="14" t="s">
        <v>21</v>
      </c>
      <c r="D4" s="8" t="s">
        <v>25</v>
      </c>
      <c r="E4" s="10">
        <v>15.0</v>
      </c>
      <c r="F4" s="2" t="s">
        <v>24</v>
      </c>
      <c r="G4" s="16" t="str">
        <f t="array" ref="G4">_xlfn.XLOOKUP(D4, Products!A:A, Products!B:B, "Not Found")</f>
        <v>مقياس الأكسجين المحمول</v>
      </c>
      <c r="H4" s="13">
        <f>IF(C4="buy", E4*VLOOKUP(D4, Products!A:F, 5, FALSE), IF(C4="sell", E4*VLOOKUP(D4, Products!A:F, 6, FALSE), 0))
</f>
        <v>4800</v>
      </c>
      <c r="I4" s="7"/>
    </row>
    <row r="5">
      <c r="A5" s="2" t="s">
        <v>69</v>
      </c>
      <c r="B5" s="12">
        <v>46234.0</v>
      </c>
      <c r="C5" s="14" t="s">
        <v>21</v>
      </c>
      <c r="D5" s="8" t="s">
        <v>27</v>
      </c>
      <c r="E5" s="10">
        <v>20.0</v>
      </c>
      <c r="F5" s="2" t="s">
        <v>24</v>
      </c>
      <c r="G5" s="16" t="str">
        <f t="array" ref="G5">_xlfn.XLOOKUP(D5, Products!A:A, Products!B:B, "Not Found")</f>
        <v>سماعة الطبيب الطبية</v>
      </c>
      <c r="H5" s="13">
        <f>IF(C5="buy", E5*VLOOKUP(D5, Products!A:F, 5, FALSE), IF(C5="sell", E5*VLOOKUP(D5, Products!A:F, 6, FALSE), 0))
</f>
        <v>9000</v>
      </c>
      <c r="I5" s="7"/>
    </row>
    <row r="6">
      <c r="A6" s="2" t="s">
        <v>70</v>
      </c>
      <c r="B6" s="12">
        <v>46234.0</v>
      </c>
      <c r="C6" s="14" t="s">
        <v>21</v>
      </c>
      <c r="D6" s="8" t="s">
        <v>29</v>
      </c>
      <c r="E6" s="10">
        <v>50.0</v>
      </c>
      <c r="F6" s="2" t="s">
        <v>24</v>
      </c>
      <c r="G6" s="16" t="str">
        <f t="array" ref="G6">_xlfn.XLOOKUP(D6, Products!A:A, Products!B:B, "Not Found")</f>
        <v>مقياس الحرارة الرقمي</v>
      </c>
      <c r="H6" s="13">
        <f>IF(C6="buy", E6*VLOOKUP(D6, Products!A:F, 5, FALSE), IF(C6="sell", E6*VLOOKUP(D6, Products!A:F, 6, FALSE), 0))
</f>
        <v>2750</v>
      </c>
      <c r="I6" s="7"/>
    </row>
    <row r="7">
      <c r="A7" s="2" t="s">
        <v>71</v>
      </c>
      <c r="B7" s="12">
        <v>46234.0</v>
      </c>
      <c r="C7" s="14" t="s">
        <v>21</v>
      </c>
      <c r="D7" s="8" t="s">
        <v>32</v>
      </c>
      <c r="E7" s="10">
        <v>15.0</v>
      </c>
      <c r="F7" s="2" t="s">
        <v>24</v>
      </c>
      <c r="G7" s="16" t="str">
        <f t="array" ref="G7">_xlfn.XLOOKUP(D7, Products!A:A, Products!B:B, "Not Found")</f>
        <v>ترمومتر ليزر عن بعد</v>
      </c>
      <c r="H7" s="13">
        <f>IF(C7="buy", E7*VLOOKUP(D7, Products!A:F, 5, FALSE), IF(C7="sell", E7*VLOOKUP(D7, Products!A:F, 6, FALSE), 0))
</f>
        <v>7200</v>
      </c>
      <c r="I7" s="7"/>
    </row>
    <row r="8">
      <c r="A8" s="2" t="s">
        <v>72</v>
      </c>
      <c r="B8" s="12">
        <v>46235.0</v>
      </c>
      <c r="C8" s="14" t="s">
        <v>21</v>
      </c>
      <c r="D8" s="8" t="s">
        <v>34</v>
      </c>
      <c r="E8" s="10">
        <v>2.0</v>
      </c>
      <c r="F8" s="2" t="s">
        <v>73</v>
      </c>
      <c r="G8" s="16" t="str">
        <f t="array" ref="G8">_xlfn.XLOOKUP(D8, Products!A:A, Products!B:B, "Not Found")</f>
        <v>جهاز رسم القلب المحمول</v>
      </c>
      <c r="H8" s="13">
        <f>IF(C8="buy", E8*VLOOKUP(D8, Products!A:F, 5, FALSE), IF(C8="sell", E8*VLOOKUP(D8, Products!A:F, 6, FALSE), 0))
</f>
        <v>52000</v>
      </c>
      <c r="I8" s="7"/>
    </row>
    <row r="9">
      <c r="A9" s="2" t="s">
        <v>74</v>
      </c>
      <c r="B9" s="12">
        <v>46235.0</v>
      </c>
      <c r="C9" s="14" t="s">
        <v>21</v>
      </c>
      <c r="D9" s="8" t="s">
        <v>36</v>
      </c>
      <c r="E9" s="10">
        <v>25.0</v>
      </c>
      <c r="F9" s="2" t="s">
        <v>73</v>
      </c>
      <c r="G9" s="16" t="str">
        <f t="array" ref="G9">_xlfn.XLOOKUP(D9, Products!A:A, Products!B:B, "Not Found")</f>
        <v>مصباح الفحص اليدوي</v>
      </c>
      <c r="H9" s="13">
        <f>IF(C9="buy", E9*VLOOKUP(D9, Products!A:F, 5, FALSE), IF(C9="sell", E9*VLOOKUP(D9, Products!A:F, 6, FALSE), 0))
</f>
        <v>2125</v>
      </c>
      <c r="I9" s="7"/>
    </row>
    <row r="10">
      <c r="A10" s="2" t="s">
        <v>75</v>
      </c>
      <c r="B10" s="12">
        <v>46235.0</v>
      </c>
      <c r="C10" s="14" t="s">
        <v>21</v>
      </c>
      <c r="D10" s="8" t="s">
        <v>38</v>
      </c>
      <c r="E10" s="10">
        <v>25.0</v>
      </c>
      <c r="F10" s="2" t="s">
        <v>73</v>
      </c>
      <c r="G10" s="16" t="str">
        <f t="array" ref="G10">_xlfn.XLOOKUP(D10, Products!A:A, Products!B:B, "Not Found")</f>
        <v>مطرقة فحص الأعصاب</v>
      </c>
      <c r="H10" s="13">
        <f>IF(C10="buy", E10*VLOOKUP(D10, Products!A:F, 5, FALSE), IF(C10="sell", E10*VLOOKUP(D10, Products!A:F, 6, FALSE), 0))
</f>
        <v>2375</v>
      </c>
      <c r="I10" s="7"/>
    </row>
    <row r="11">
      <c r="A11" s="2" t="s">
        <v>76</v>
      </c>
      <c r="B11" s="12">
        <v>46235.0</v>
      </c>
      <c r="C11" s="14" t="s">
        <v>21</v>
      </c>
      <c r="D11" s="8" t="s">
        <v>40</v>
      </c>
      <c r="E11" s="10">
        <v>10.0</v>
      </c>
      <c r="F11" s="2" t="s">
        <v>73</v>
      </c>
      <c r="G11" s="16" t="str">
        <f t="array" ref="G11">_xlfn.XLOOKUP(D11, Products!A:A, Products!B:B, "Not Found")</f>
        <v>منظار الأذن الطبي</v>
      </c>
      <c r="H11" s="13">
        <f>IF(C11="buy", E11*VLOOKUP(D11, Products!A:F, 5, FALSE), IF(C11="sell", E11*VLOOKUP(D11, Products!A:F, 6, FALSE), 0))
</f>
        <v>13000</v>
      </c>
      <c r="I11" s="7"/>
    </row>
    <row r="12">
      <c r="A12" s="2" t="s">
        <v>77</v>
      </c>
      <c r="B12" s="12">
        <v>46235.0</v>
      </c>
      <c r="C12" s="14" t="s">
        <v>21</v>
      </c>
      <c r="D12" s="8" t="s">
        <v>42</v>
      </c>
      <c r="E12" s="10">
        <v>100.0</v>
      </c>
      <c r="F12" s="2" t="s">
        <v>78</v>
      </c>
      <c r="G12" s="16" t="str">
        <f t="array" ref="G12">_xlfn.XLOOKUP(D12, Products!A:A, Products!B:B, "Not Found")</f>
        <v>قفازات نيتريل معقمة (علبة)</v>
      </c>
      <c r="H12" s="13">
        <f>IF(C12="buy", E12*VLOOKUP(D12, Products!A:F, 5, FALSE), IF(C12="sell", E12*VLOOKUP(D12, Products!A:F, 6, FALSE), 0))
</f>
        <v>18500</v>
      </c>
      <c r="I12" s="7"/>
    </row>
    <row r="13">
      <c r="A13" s="2" t="s">
        <v>79</v>
      </c>
      <c r="B13" s="12">
        <v>46236.0</v>
      </c>
      <c r="C13" s="14" t="s">
        <v>21</v>
      </c>
      <c r="D13" s="8" t="s">
        <v>46</v>
      </c>
      <c r="E13" s="10">
        <v>200.0</v>
      </c>
      <c r="F13" s="2" t="s">
        <v>78</v>
      </c>
      <c r="G13" s="16" t="str">
        <f t="array" ref="G13">_xlfn.XLOOKUP(D13, Products!A:A, Products!B:B, "Not Found")</f>
        <v>كمامات جراحية (علبة)</v>
      </c>
      <c r="H13" s="13">
        <f>IF(C13="buy", E13*VLOOKUP(D13, Products!A:F, 5, FALSE), IF(C13="sell", E13*VLOOKUP(D13, Products!A:F, 6, FALSE), 0))
</f>
        <v>9000</v>
      </c>
      <c r="I13" s="7"/>
    </row>
    <row r="14">
      <c r="A14" s="2" t="s">
        <v>80</v>
      </c>
      <c r="B14" s="12">
        <v>46236.0</v>
      </c>
      <c r="C14" s="14" t="s">
        <v>21</v>
      </c>
      <c r="D14" s="8" t="s">
        <v>48</v>
      </c>
      <c r="E14" s="10">
        <v>80.0</v>
      </c>
      <c r="F14" s="2" t="s">
        <v>78</v>
      </c>
      <c r="G14" s="16" t="str">
        <f t="array" ref="G14">_xlfn.XLOOKUP(D14, Products!A:A, Products!B:B, "Not Found")</f>
        <v>سرنجات مقاس 3 مل (علبة)</v>
      </c>
      <c r="H14" s="13">
        <f>IF(C14="buy", E14*VLOOKUP(D14, Products!A:F, 5, FALSE), IF(C14="sell", E14*VLOOKUP(D14, Products!A:F, 6, FALSE), 0))
</f>
        <v>10000</v>
      </c>
      <c r="I14" s="7"/>
    </row>
    <row r="15">
      <c r="A15" s="2" t="s">
        <v>81</v>
      </c>
      <c r="B15" s="12">
        <v>46236.0</v>
      </c>
      <c r="C15" s="14" t="s">
        <v>21</v>
      </c>
      <c r="D15" s="8" t="s">
        <v>50</v>
      </c>
      <c r="E15" s="10">
        <v>150.0</v>
      </c>
      <c r="F15" s="2" t="s">
        <v>78</v>
      </c>
      <c r="G15" s="16" t="str">
        <f t="array" ref="G15">_xlfn.XLOOKUP(D15, Products!A:A, Products!B:B, "Not Found")</f>
        <v>كانيولا وريدية زرقاء (علبة)</v>
      </c>
      <c r="H15" s="13">
        <f>IF(C15="buy", E15*VLOOKUP(D15, Products!A:F, 5, FALSE), IF(C15="sell", E15*VLOOKUP(D15, Products!A:F, 6, FALSE), 0))
</f>
        <v>46500</v>
      </c>
      <c r="I15" s="7"/>
    </row>
    <row r="16">
      <c r="A16" s="2" t="s">
        <v>82</v>
      </c>
      <c r="B16" s="12">
        <v>46236.0</v>
      </c>
      <c r="C16" s="14" t="s">
        <v>21</v>
      </c>
      <c r="D16" s="8" t="s">
        <v>52</v>
      </c>
      <c r="E16" s="10">
        <v>100.0</v>
      </c>
      <c r="F16" s="8" t="s">
        <v>83</v>
      </c>
      <c r="G16" s="16" t="str">
        <f t="array" ref="G16">_xlfn.XLOOKUP(D16, Products!A:A, Products!B:B, "Not Found")</f>
        <v>شرائط فحص السكر (علبة)</v>
      </c>
      <c r="H16" s="13">
        <f>IF(C16="buy", E16*VLOOKUP(D16, Products!A:F, 5, FALSE), IF(C16="sell", E16*VLOOKUP(D16, Products!A:F, 6, FALSE), 0))
</f>
        <v>27000</v>
      </c>
      <c r="I16" s="7"/>
    </row>
    <row r="17">
      <c r="A17" s="2" t="s">
        <v>84</v>
      </c>
      <c r="B17" s="12">
        <v>46236.0</v>
      </c>
      <c r="C17" s="14" t="s">
        <v>21</v>
      </c>
      <c r="D17" s="8" t="s">
        <v>54</v>
      </c>
      <c r="E17" s="10">
        <v>80.0</v>
      </c>
      <c r="F17" s="8" t="s">
        <v>83</v>
      </c>
      <c r="G17" s="16" t="str">
        <f t="array" ref="G17">_xlfn.XLOOKUP(D17, Products!A:A, Products!B:B, "Not Found")</f>
        <v>شاش طبي معقم</v>
      </c>
      <c r="H17" s="13">
        <f>IF(C17="buy", E17*VLOOKUP(D17, Products!A:F, 5, FALSE), IF(C17="sell", E17*VLOOKUP(D17, Products!A:F, 6, FALSE), 0))
</f>
        <v>12000</v>
      </c>
      <c r="I17" s="7"/>
    </row>
    <row r="18">
      <c r="A18" s="2" t="s">
        <v>85</v>
      </c>
      <c r="B18" s="12">
        <v>46236.0</v>
      </c>
      <c r="C18" s="14" t="s">
        <v>21</v>
      </c>
      <c r="D18" s="8" t="s">
        <v>57</v>
      </c>
      <c r="E18" s="10">
        <v>80.0</v>
      </c>
      <c r="F18" s="8" t="s">
        <v>83</v>
      </c>
      <c r="G18" s="16" t="str">
        <f t="array" ref="G18">_xlfn.XLOOKUP(D18, Products!A:A, Products!B:B, "Not Found")</f>
        <v>بكرة قطن طبي (كيلو)</v>
      </c>
      <c r="H18" s="13">
        <f>IF(C18="buy", E18*VLOOKUP(D18, Products!A:F, 5, FALSE), IF(C18="sell", E18*VLOOKUP(D18, Products!A:F, 6, FALSE), 0))
</f>
        <v>13200</v>
      </c>
      <c r="I18" s="7"/>
    </row>
    <row r="19">
      <c r="A19" s="2" t="s">
        <v>86</v>
      </c>
      <c r="B19" s="12">
        <v>46237.0</v>
      </c>
      <c r="C19" s="14" t="s">
        <v>21</v>
      </c>
      <c r="D19" s="8" t="s">
        <v>60</v>
      </c>
      <c r="E19" s="10">
        <v>60.0</v>
      </c>
      <c r="F19" s="8" t="s">
        <v>83</v>
      </c>
      <c r="G19" s="16" t="str">
        <f t="array" ref="G19">_xlfn.XLOOKUP(D19, Products!A:A, Products!B:B, "Not Found")</f>
        <v>كحول إيثيلي 70% (جالون)</v>
      </c>
      <c r="H19" s="13">
        <f>IF(C19="buy", E19*VLOOKUP(D19, Products!A:F, 5, FALSE), IF(C19="sell", E19*VLOOKUP(D19, Products!A:F, 6, FALSE), 0))
</f>
        <v>15600</v>
      </c>
      <c r="I19" s="7"/>
    </row>
    <row r="20">
      <c r="A20" s="2" t="s">
        <v>87</v>
      </c>
      <c r="B20" s="12">
        <v>46237.0</v>
      </c>
      <c r="C20" s="14" t="s">
        <v>21</v>
      </c>
      <c r="D20" s="8" t="s">
        <v>63</v>
      </c>
      <c r="E20" s="10">
        <v>50.0</v>
      </c>
      <c r="F20" s="8" t="s">
        <v>83</v>
      </c>
      <c r="G20" s="16" t="str">
        <f t="array" ref="G20">_xlfn.XLOOKUP(D20, Products!A:A, Products!B:B, "Not Found")</f>
        <v>جل السونار الطبي (جالون)</v>
      </c>
      <c r="H20" s="13">
        <f>IF(C20="buy", E20*VLOOKUP(D20, Products!A:F, 5, FALSE), IF(C20="sell", E20*VLOOKUP(D20, Products!A:F, 6, FALSE), 0))
</f>
        <v>7750</v>
      </c>
      <c r="I20" s="7"/>
    </row>
    <row r="21">
      <c r="A21" s="2" t="s">
        <v>88</v>
      </c>
      <c r="B21" s="12">
        <v>46237.0</v>
      </c>
      <c r="C21" s="14" t="s">
        <v>21</v>
      </c>
      <c r="D21" s="8" t="s">
        <v>66</v>
      </c>
      <c r="E21" s="10">
        <v>100.0</v>
      </c>
      <c r="F21" s="8" t="s">
        <v>83</v>
      </c>
      <c r="G21" s="16" t="str">
        <f t="array" ref="G21">_xlfn.XLOOKUP(D21, Products!A:A, Products!B:B, "Not Found")</f>
        <v>بلاستر طبي للجروح (علبة)</v>
      </c>
      <c r="H21" s="13">
        <f>IF(C21="buy", E21*VLOOKUP(D21, Products!A:F, 5, FALSE), IF(C21="sell", E21*VLOOKUP(D21, Products!A:F, 6, FALSE), 0))
</f>
        <v>5000</v>
      </c>
      <c r="I21" s="7"/>
    </row>
    <row r="22">
      <c r="A22" s="2" t="s">
        <v>89</v>
      </c>
      <c r="B22" s="12">
        <v>46237.0</v>
      </c>
      <c r="C22" s="14" t="s">
        <v>90</v>
      </c>
      <c r="D22" s="8" t="s">
        <v>14</v>
      </c>
      <c r="E22" s="10">
        <v>5.0</v>
      </c>
      <c r="F22" s="8" t="s">
        <v>91</v>
      </c>
      <c r="G22" s="16" t="str">
        <f t="array" ref="G22">_xlfn.XLOOKUP(D22, Products!A:A, Products!B:B, "Not Found")</f>
        <v>جهاز الضغط الإلكتروني</v>
      </c>
      <c r="H22" s="13">
        <f>IF(C22="buy", E22*VLOOKUP(D22, Products!A:F, 5, FALSE), IF(C22="sell", E22*VLOOKUP(D22, Products!A:F, 6, FALSE), 0))
</f>
        <v>7000</v>
      </c>
      <c r="I22" s="7"/>
    </row>
    <row r="23">
      <c r="A23" s="2" t="s">
        <v>92</v>
      </c>
      <c r="B23" s="12">
        <v>46237.0</v>
      </c>
      <c r="C23" s="14" t="s">
        <v>90</v>
      </c>
      <c r="D23" s="8" t="s">
        <v>22</v>
      </c>
      <c r="E23" s="10">
        <v>5.0</v>
      </c>
      <c r="F23" s="8" t="s">
        <v>93</v>
      </c>
      <c r="G23" s="16" t="str">
        <f t="array" ref="G23">_xlfn.XLOOKUP(D23, Products!A:A, Products!B:B, "Not Found")</f>
        <v>جهاز السكر المنزلي</v>
      </c>
      <c r="H23" s="13">
        <f>IF(C23="buy", E23*VLOOKUP(D23, Products!A:F, 5, FALSE), IF(C23="sell", E23*VLOOKUP(D23, Products!A:F, 6, FALSE), 0))
</f>
        <v>2750</v>
      </c>
      <c r="I23" s="7"/>
    </row>
    <row r="24">
      <c r="A24" s="2" t="s">
        <v>94</v>
      </c>
      <c r="B24" s="12">
        <v>46237.0</v>
      </c>
      <c r="C24" s="14" t="s">
        <v>90</v>
      </c>
      <c r="D24" s="8" t="s">
        <v>25</v>
      </c>
      <c r="E24" s="10">
        <v>4.0</v>
      </c>
      <c r="F24" s="8" t="s">
        <v>95</v>
      </c>
      <c r="G24" s="16" t="str">
        <f t="array" ref="G24">_xlfn.XLOOKUP(D24, Products!A:A, Products!B:B, "Not Found")</f>
        <v>مقياس الأكسجين المحمول</v>
      </c>
      <c r="H24" s="13">
        <f>IF(C24="buy", E24*VLOOKUP(D24, Products!A:F, 5, FALSE), IF(C24="sell", E24*VLOOKUP(D24, Products!A:F, 6, FALSE), 0))
</f>
        <v>2200</v>
      </c>
      <c r="I24" s="7"/>
    </row>
    <row r="25">
      <c r="A25" s="2" t="s">
        <v>96</v>
      </c>
      <c r="B25" s="12">
        <v>46237.0</v>
      </c>
      <c r="C25" s="14" t="s">
        <v>90</v>
      </c>
      <c r="D25" s="8" t="s">
        <v>27</v>
      </c>
      <c r="E25" s="10">
        <v>3.0</v>
      </c>
      <c r="F25" s="8" t="s">
        <v>97</v>
      </c>
      <c r="G25" s="16" t="str">
        <f t="array" ref="G25">_xlfn.XLOOKUP(D25, Products!A:A, Products!B:B, "Not Found")</f>
        <v>سماعة الطبيب الطبية</v>
      </c>
      <c r="H25" s="13">
        <f>IF(C25="buy", E25*VLOOKUP(D25, Products!A:F, 5, FALSE), IF(C25="sell", E25*VLOOKUP(D25, Products!A:F, 6, FALSE), 0))
</f>
        <v>2250</v>
      </c>
      <c r="I25" s="7"/>
    </row>
    <row r="26">
      <c r="A26" s="2" t="s">
        <v>98</v>
      </c>
      <c r="B26" s="12">
        <v>46237.0</v>
      </c>
      <c r="C26" s="14" t="s">
        <v>90</v>
      </c>
      <c r="D26" s="8" t="s">
        <v>29</v>
      </c>
      <c r="E26" s="10">
        <v>15.0</v>
      </c>
      <c r="F26" s="8" t="s">
        <v>99</v>
      </c>
      <c r="G26" s="16" t="str">
        <f t="array" ref="G26">_xlfn.XLOOKUP(D26, Products!A:A, Products!B:B, "Not Found")</f>
        <v>مقياس الحرارة الرقمي</v>
      </c>
      <c r="H26" s="13">
        <f>IF(C26="buy", E26*VLOOKUP(D26, Products!A:F, 5, FALSE), IF(C26="sell", E26*VLOOKUP(D26, Products!A:F, 6, FALSE), 0))
</f>
        <v>1350</v>
      </c>
      <c r="I26" s="7"/>
    </row>
    <row r="27">
      <c r="A27" s="2" t="s">
        <v>100</v>
      </c>
      <c r="B27" s="12">
        <v>46238.0</v>
      </c>
      <c r="C27" s="14" t="s">
        <v>90</v>
      </c>
      <c r="D27" s="8" t="s">
        <v>32</v>
      </c>
      <c r="E27" s="10">
        <v>3.0</v>
      </c>
      <c r="F27" s="8" t="s">
        <v>101</v>
      </c>
      <c r="G27" s="16" t="str">
        <f t="array" ref="G27">_xlfn.XLOOKUP(D27, Products!A:A, Products!B:B, "Not Found")</f>
        <v>ترمومتر ليزر عن بعد</v>
      </c>
      <c r="H27" s="13">
        <f>IF(C27="buy", E27*VLOOKUP(D27, Products!A:F, 5, FALSE), IF(C27="sell", E27*VLOOKUP(D27, Products!A:F, 6, FALSE), 0))
</f>
        <v>2100</v>
      </c>
      <c r="I27" s="7"/>
    </row>
    <row r="28">
      <c r="A28" s="2" t="s">
        <v>102</v>
      </c>
      <c r="B28" s="12">
        <v>46238.0</v>
      </c>
      <c r="C28" s="14" t="s">
        <v>90</v>
      </c>
      <c r="D28" s="8" t="s">
        <v>34</v>
      </c>
      <c r="E28" s="10">
        <v>1.0</v>
      </c>
      <c r="F28" s="8" t="s">
        <v>103</v>
      </c>
      <c r="G28" s="16" t="str">
        <f t="array" ref="G28">_xlfn.XLOOKUP(D28, Products!A:A, Products!B:B, "Not Found")</f>
        <v>جهاز رسم القلب المحمول</v>
      </c>
      <c r="H28" s="13">
        <f>IF(C28="buy", E28*VLOOKUP(D28, Products!A:F, 5, FALSE), IF(C28="sell", E28*VLOOKUP(D28, Products!A:F, 6, FALSE), 0))
</f>
        <v>33000</v>
      </c>
      <c r="I28" s="7"/>
    </row>
    <row r="29">
      <c r="A29" s="2" t="s">
        <v>104</v>
      </c>
      <c r="B29" s="12">
        <v>46238.0</v>
      </c>
      <c r="C29" s="14" t="s">
        <v>90</v>
      </c>
      <c r="D29" s="8" t="s">
        <v>36</v>
      </c>
      <c r="E29" s="10">
        <v>3.0</v>
      </c>
      <c r="F29" s="8" t="s">
        <v>105</v>
      </c>
      <c r="G29" s="16" t="str">
        <f t="array" ref="G29">_xlfn.XLOOKUP(D29, Products!A:A, Products!B:B, "Not Found")</f>
        <v>مصباح الفحص اليدوي</v>
      </c>
      <c r="H29" s="13">
        <f>IF(C29="buy", E29*VLOOKUP(D29, Products!A:F, 5, FALSE), IF(C29="sell", E29*VLOOKUP(D29, Products!A:F, 6, FALSE), 0))
</f>
        <v>450</v>
      </c>
      <c r="I29" s="7"/>
    </row>
    <row r="30">
      <c r="A30" s="2" t="s">
        <v>106</v>
      </c>
      <c r="B30" s="12">
        <v>46238.0</v>
      </c>
      <c r="C30" s="14" t="s">
        <v>90</v>
      </c>
      <c r="D30" s="8" t="s">
        <v>38</v>
      </c>
      <c r="E30" s="10">
        <v>3.0</v>
      </c>
      <c r="F30" s="8" t="s">
        <v>107</v>
      </c>
      <c r="G30" s="16" t="str">
        <f t="array" ref="G30">_xlfn.XLOOKUP(D30, Products!A:A, Products!B:B, "Not Found")</f>
        <v>مطرقة فحص الأعصاب</v>
      </c>
      <c r="H30" s="13">
        <f>IF(C30="buy", E30*VLOOKUP(D30, Products!A:F, 5, FALSE), IF(C30="sell", E30*VLOOKUP(D30, Products!A:F, 6, FALSE), 0))
</f>
        <v>480</v>
      </c>
      <c r="I30" s="7"/>
    </row>
    <row r="31">
      <c r="A31" s="2" t="s">
        <v>108</v>
      </c>
      <c r="B31" s="12">
        <v>46238.0</v>
      </c>
      <c r="C31" s="14" t="s">
        <v>90</v>
      </c>
      <c r="D31" s="8" t="s">
        <v>40</v>
      </c>
      <c r="E31" s="10">
        <v>2.0</v>
      </c>
      <c r="F31" s="8" t="s">
        <v>109</v>
      </c>
      <c r="G31" s="16" t="str">
        <f t="array" ref="G31">_xlfn.XLOOKUP(D31, Products!A:A, Products!B:B, "Not Found")</f>
        <v>منظار الأذن الطبي</v>
      </c>
      <c r="H31" s="13">
        <f>IF(C31="buy", E31*VLOOKUP(D31, Products!A:F, 5, FALSE), IF(C31="sell", E31*VLOOKUP(D31, Products!A:F, 6, FALSE), 0))
</f>
        <v>3800</v>
      </c>
      <c r="I31" s="7"/>
    </row>
    <row r="32">
      <c r="A32" s="2" t="s">
        <v>110</v>
      </c>
      <c r="B32" s="12">
        <v>46238.0</v>
      </c>
      <c r="C32" s="14" t="s">
        <v>90</v>
      </c>
      <c r="D32" s="8" t="s">
        <v>42</v>
      </c>
      <c r="E32" s="10">
        <v>20.0</v>
      </c>
      <c r="F32" s="8" t="s">
        <v>111</v>
      </c>
      <c r="G32" s="16" t="str">
        <f t="array" ref="G32">_xlfn.XLOOKUP(D32, Products!A:A, Products!B:B, "Not Found")</f>
        <v>قفازات نيتريل معقمة (علبة)</v>
      </c>
      <c r="H32" s="13">
        <f>IF(C32="buy", E32*VLOOKUP(D32, Products!A:F, 5, FALSE), IF(C32="sell", E32*VLOOKUP(D32, Products!A:F, 6, FALSE), 0))
</f>
        <v>5200</v>
      </c>
      <c r="I32" s="7"/>
    </row>
    <row r="33">
      <c r="A33" s="2" t="s">
        <v>112</v>
      </c>
      <c r="B33" s="12">
        <v>46238.0</v>
      </c>
      <c r="C33" s="14" t="s">
        <v>90</v>
      </c>
      <c r="D33" s="8" t="s">
        <v>46</v>
      </c>
      <c r="E33" s="10">
        <v>30.0</v>
      </c>
      <c r="F33" s="8" t="s">
        <v>113</v>
      </c>
      <c r="G33" s="16" t="str">
        <f t="array" ref="G33">_xlfn.XLOOKUP(D33, Products!A:A, Products!B:B, "Not Found")</f>
        <v>كمامات جراحية (علبة)</v>
      </c>
      <c r="H33" s="13">
        <f>IF(C33="buy", E33*VLOOKUP(D33, Products!A:F, 5, FALSE), IF(C33="sell", E33*VLOOKUP(D33, Products!A:F, 6, FALSE), 0))
</f>
        <v>2250</v>
      </c>
      <c r="I33" s="7"/>
    </row>
    <row r="34">
      <c r="A34" s="2" t="s">
        <v>114</v>
      </c>
      <c r="B34" s="12">
        <v>46238.0</v>
      </c>
      <c r="C34" s="14" t="s">
        <v>90</v>
      </c>
      <c r="D34" s="8" t="s">
        <v>48</v>
      </c>
      <c r="E34" s="10">
        <v>15.0</v>
      </c>
      <c r="F34" s="8" t="s">
        <v>115</v>
      </c>
      <c r="G34" s="16" t="str">
        <f t="array" ref="G34">_xlfn.XLOOKUP(D34, Products!A:A, Products!B:B, "Not Found")</f>
        <v>سرنجات مقاس 3 مل (علبة)</v>
      </c>
      <c r="H34" s="13">
        <f>IF(C34="buy", E34*VLOOKUP(D34, Products!A:F, 5, FALSE), IF(C34="sell", E34*VLOOKUP(D34, Products!A:F, 6, FALSE), 0))
</f>
        <v>2700</v>
      </c>
      <c r="I34" s="7"/>
    </row>
    <row r="35">
      <c r="A35" s="2" t="s">
        <v>116</v>
      </c>
      <c r="B35" s="12">
        <v>46238.0</v>
      </c>
      <c r="C35" s="14" t="s">
        <v>90</v>
      </c>
      <c r="D35" s="8" t="s">
        <v>50</v>
      </c>
      <c r="E35" s="10">
        <v>10.0</v>
      </c>
      <c r="F35" s="8" t="s">
        <v>117</v>
      </c>
      <c r="G35" s="16" t="str">
        <f t="array" ref="G35">_xlfn.XLOOKUP(D35, Products!A:A, Products!B:B, "Not Found")</f>
        <v>كانيولا وريدية زرقاء (علبة)</v>
      </c>
      <c r="H35" s="13">
        <f>IF(C35="buy", E35*VLOOKUP(D35, Products!A:F, 5, FALSE), IF(C35="sell", E35*VLOOKUP(D35, Products!A:F, 6, FALSE), 0))
</f>
        <v>4500</v>
      </c>
      <c r="I35" s="7"/>
    </row>
    <row r="36">
      <c r="A36" s="2" t="s">
        <v>118</v>
      </c>
      <c r="B36" s="12">
        <v>46238.0</v>
      </c>
      <c r="C36" s="14" t="s">
        <v>90</v>
      </c>
      <c r="D36" s="8" t="s">
        <v>52</v>
      </c>
      <c r="E36" s="10">
        <v>25.0</v>
      </c>
      <c r="F36" s="8" t="s">
        <v>119</v>
      </c>
      <c r="G36" s="16" t="str">
        <f t="array" ref="G36">_xlfn.XLOOKUP(D36, Products!A:A, Products!B:B, "Not Found")</f>
        <v>شرائط فحص السكر (علبة)</v>
      </c>
      <c r="H36" s="13">
        <f>IF(C36="buy", E36*VLOOKUP(D36, Products!A:F, 5, FALSE), IF(C36="sell", E36*VLOOKUP(D36, Products!A:F, 6, FALSE), 0))
</f>
        <v>8750</v>
      </c>
      <c r="I36" s="7"/>
    </row>
    <row r="37">
      <c r="A37" s="2" t="s">
        <v>120</v>
      </c>
      <c r="B37" s="12">
        <v>46238.0</v>
      </c>
      <c r="C37" s="14" t="s">
        <v>90</v>
      </c>
      <c r="D37" s="8" t="s">
        <v>54</v>
      </c>
      <c r="E37" s="10">
        <v>15.0</v>
      </c>
      <c r="F37" s="8" t="s">
        <v>121</v>
      </c>
      <c r="G37" s="16" t="str">
        <f t="array" ref="G37">_xlfn.XLOOKUP(D37, Products!A:A, Products!B:B, "Not Found")</f>
        <v>شاش طبي معقم</v>
      </c>
      <c r="H37" s="13">
        <f>IF(C37="buy", E37*VLOOKUP(D37, Products!A:F, 5, FALSE), IF(C37="sell", E37*VLOOKUP(D37, Products!A:F, 6, FALSE), 0))
</f>
        <v>3150</v>
      </c>
      <c r="I37" s="7"/>
    </row>
    <row r="38">
      <c r="A38" s="2" t="s">
        <v>122</v>
      </c>
      <c r="B38" s="12">
        <v>46238.0</v>
      </c>
      <c r="C38" s="14" t="s">
        <v>90</v>
      </c>
      <c r="D38" s="8" t="s">
        <v>57</v>
      </c>
      <c r="E38" s="10">
        <v>10.0</v>
      </c>
      <c r="F38" s="8" t="s">
        <v>123</v>
      </c>
      <c r="G38" s="16" t="str">
        <f t="array" ref="G38">_xlfn.XLOOKUP(D38, Products!A:A, Products!B:B, "Not Found")</f>
        <v>بكرة قطن طبي (كيلو)</v>
      </c>
      <c r="H38" s="13">
        <f>IF(C38="buy", E38*VLOOKUP(D38, Products!A:F, 5, FALSE), IF(C38="sell", E38*VLOOKUP(D38, Products!A:F, 6, FALSE), 0))
</f>
        <v>2200</v>
      </c>
      <c r="I38" s="7"/>
    </row>
    <row r="39">
      <c r="A39" s="2" t="s">
        <v>124</v>
      </c>
      <c r="B39" s="12">
        <v>46238.0</v>
      </c>
      <c r="C39" s="14" t="s">
        <v>90</v>
      </c>
      <c r="D39" s="8" t="s">
        <v>60</v>
      </c>
      <c r="E39" s="10">
        <v>5.0</v>
      </c>
      <c r="F39" s="8" t="s">
        <v>125</v>
      </c>
      <c r="G39" s="16" t="str">
        <f t="array" ref="G39">_xlfn.XLOOKUP(D39, Products!A:A, Products!B:B, "Not Found")</f>
        <v>كحول إيثيلي 70% (جالون)</v>
      </c>
      <c r="H39" s="13">
        <f>IF(C39="buy", E39*VLOOKUP(D39, Products!A:F, 5, FALSE), IF(C39="sell", E39*VLOOKUP(D39, Products!A:F, 6, FALSE), 0))
</f>
        <v>1800</v>
      </c>
      <c r="I39" s="7"/>
    </row>
    <row r="40">
      <c r="A40" s="2" t="s">
        <v>126</v>
      </c>
      <c r="B40" s="12">
        <v>46238.0</v>
      </c>
      <c r="C40" s="14" t="s">
        <v>90</v>
      </c>
      <c r="D40" s="8" t="s">
        <v>63</v>
      </c>
      <c r="E40" s="10">
        <v>4.0</v>
      </c>
      <c r="F40" s="8" t="s">
        <v>127</v>
      </c>
      <c r="G40" s="16" t="str">
        <f t="array" ref="G40">_xlfn.XLOOKUP(D40, Products!A:A, Products!B:B, "Not Found")</f>
        <v>جل السونار الطبي (جالون)</v>
      </c>
      <c r="H40" s="13">
        <f>IF(C40="buy", E40*VLOOKUP(D40, Products!A:F, 5, FALSE), IF(C40="sell", E40*VLOOKUP(D40, Products!A:F, 6, FALSE), 0))
</f>
        <v>960</v>
      </c>
      <c r="I40" s="7"/>
    </row>
    <row r="41">
      <c r="A41" s="2" t="s">
        <v>128</v>
      </c>
      <c r="B41" s="12">
        <v>46238.0</v>
      </c>
      <c r="C41" s="14" t="s">
        <v>90</v>
      </c>
      <c r="D41" s="8" t="s">
        <v>66</v>
      </c>
      <c r="E41" s="10">
        <v>15.0</v>
      </c>
      <c r="F41" s="8" t="s">
        <v>129</v>
      </c>
      <c r="G41" s="16" t="str">
        <f t="array" ref="G41">_xlfn.XLOOKUP(D41, Products!A:A, Products!B:B, "Not Found")</f>
        <v>بلاستر طبي للجروح (علبة)</v>
      </c>
      <c r="H41" s="13">
        <f>IF(C41="buy", E41*VLOOKUP(D41, Products!A:F, 5, FALSE), IF(C41="sell", E41*VLOOKUP(D41, Products!A:F, 6, FALSE), 0))
</f>
        <v>1350</v>
      </c>
      <c r="I41" s="7"/>
    </row>
    <row r="42">
      <c r="A42" s="2" t="s">
        <v>130</v>
      </c>
      <c r="B42" s="12">
        <v>46239.0</v>
      </c>
      <c r="C42" s="14" t="s">
        <v>21</v>
      </c>
      <c r="D42" s="8" t="s">
        <v>42</v>
      </c>
      <c r="E42" s="10">
        <v>50.0</v>
      </c>
      <c r="F42" s="2" t="s">
        <v>78</v>
      </c>
      <c r="G42" s="16" t="str">
        <f t="array" ref="G42">_xlfn.XLOOKUP(D42, Products!A:A, Products!B:B, "Not Found")</f>
        <v>قفازات نيتريل معقمة (علبة)</v>
      </c>
      <c r="H42" s="13">
        <f>IF(C42="buy", E42*VLOOKUP(D42, Products!A:F, 5, FALSE), IF(C42="sell", E42*VLOOKUP(D42, Products!A:F, 6, FALSE), 0))
</f>
        <v>9250</v>
      </c>
      <c r="I42" s="7"/>
    </row>
    <row r="43">
      <c r="A43" s="2" t="s">
        <v>131</v>
      </c>
      <c r="B43" s="12">
        <v>46239.0</v>
      </c>
      <c r="C43" s="14" t="s">
        <v>21</v>
      </c>
      <c r="D43" s="8" t="s">
        <v>46</v>
      </c>
      <c r="E43" s="10">
        <v>100.0</v>
      </c>
      <c r="F43" s="2" t="s">
        <v>78</v>
      </c>
      <c r="G43" s="16" t="str">
        <f t="array" ref="G43">_xlfn.XLOOKUP(D43, Products!A:A, Products!B:B, "Not Found")</f>
        <v>كمامات جراحية (علبة)</v>
      </c>
      <c r="H43" s="13">
        <f>IF(C43="buy", E43*VLOOKUP(D43, Products!A:F, 5, FALSE), IF(C43="sell", E43*VLOOKUP(D43, Products!A:F, 6, FALSE), 0))
</f>
        <v>4500</v>
      </c>
      <c r="I43" s="7"/>
    </row>
    <row r="44">
      <c r="A44" s="2" t="s">
        <v>132</v>
      </c>
      <c r="B44" s="12">
        <v>46239.0</v>
      </c>
      <c r="C44" s="14" t="s">
        <v>90</v>
      </c>
      <c r="D44" s="8" t="s">
        <v>42</v>
      </c>
      <c r="E44" s="10">
        <v>40.0</v>
      </c>
      <c r="F44" s="8" t="s">
        <v>133</v>
      </c>
      <c r="G44" s="16" t="str">
        <f t="array" ref="G44">_xlfn.XLOOKUP(D44, Products!A:A, Products!B:B, "Not Found")</f>
        <v>قفازات نيتريل معقمة (علبة)</v>
      </c>
      <c r="H44" s="13">
        <f>IF(C44="buy", E44*VLOOKUP(D44, Products!A:F, 5, FALSE), IF(C44="sell", E44*VLOOKUP(D44, Products!A:F, 6, FALSE), 0))
</f>
        <v>10400</v>
      </c>
      <c r="I44" s="7"/>
    </row>
    <row r="45">
      <c r="A45" s="2" t="s">
        <v>134</v>
      </c>
      <c r="B45" s="12">
        <v>46239.0</v>
      </c>
      <c r="C45" s="14" t="s">
        <v>90</v>
      </c>
      <c r="D45" s="8" t="s">
        <v>46</v>
      </c>
      <c r="E45" s="10">
        <v>50.0</v>
      </c>
      <c r="F45" s="8" t="s">
        <v>135</v>
      </c>
      <c r="G45" s="16" t="str">
        <f t="array" ref="G45">_xlfn.XLOOKUP(D45, Products!A:A, Products!B:B, "Not Found")</f>
        <v>كمامات جراحية (علبة)</v>
      </c>
      <c r="H45" s="13">
        <f>IF(C45="buy", E45*VLOOKUP(D45, Products!A:F, 5, FALSE), IF(C45="sell", E45*VLOOKUP(D45, Products!A:F, 6, FALSE), 0))
</f>
        <v>3750</v>
      </c>
      <c r="I45" s="7"/>
    </row>
    <row r="46">
      <c r="A46" s="2" t="s">
        <v>136</v>
      </c>
      <c r="B46" s="12">
        <v>46239.0</v>
      </c>
      <c r="C46" s="14" t="s">
        <v>90</v>
      </c>
      <c r="D46" s="8" t="s">
        <v>14</v>
      </c>
      <c r="E46" s="10">
        <v>3.0</v>
      </c>
      <c r="F46" s="8" t="s">
        <v>137</v>
      </c>
      <c r="G46" s="16" t="str">
        <f t="array" ref="G46">_xlfn.XLOOKUP(D46, Products!A:A, Products!B:B, "Not Found")</f>
        <v>جهاز الضغط الإلكتروني</v>
      </c>
      <c r="H46" s="13">
        <f>IF(C46="buy", E46*VLOOKUP(D46, Products!A:F, 5, FALSE), IF(C46="sell", E46*VLOOKUP(D46, Products!A:F, 6, FALSE), 0))
</f>
        <v>4200</v>
      </c>
      <c r="I46" s="7"/>
    </row>
    <row r="47">
      <c r="A47" s="2" t="s">
        <v>138</v>
      </c>
      <c r="B47" s="12">
        <v>46239.0</v>
      </c>
      <c r="C47" s="14" t="s">
        <v>90</v>
      </c>
      <c r="D47" s="8" t="s">
        <v>22</v>
      </c>
      <c r="E47" s="10">
        <v>4.0</v>
      </c>
      <c r="F47" s="8" t="s">
        <v>139</v>
      </c>
      <c r="G47" s="16" t="str">
        <f t="array" ref="G47">_xlfn.XLOOKUP(D47, Products!A:A, Products!B:B, "Not Found")</f>
        <v>جهاز السكر المنزلي</v>
      </c>
      <c r="H47" s="13">
        <f>IF(C47="buy", E47*VLOOKUP(D47, Products!A:F, 5, FALSE), IF(C47="sell", E47*VLOOKUP(D47, Products!A:F, 6, FALSE), 0))
</f>
        <v>2200</v>
      </c>
      <c r="I47" s="7"/>
    </row>
    <row r="48">
      <c r="A48" s="2" t="s">
        <v>140</v>
      </c>
      <c r="B48" s="12">
        <v>46239.0</v>
      </c>
      <c r="C48" s="14" t="s">
        <v>21</v>
      </c>
      <c r="D48" s="8" t="s">
        <v>14</v>
      </c>
      <c r="E48" s="10">
        <v>10.0</v>
      </c>
      <c r="F48" s="2" t="s">
        <v>24</v>
      </c>
      <c r="G48" s="16" t="str">
        <f t="array" ref="G48">_xlfn.XLOOKUP(D48, Products!A:A, Products!B:B, "Not Found")</f>
        <v>جهاز الضغط الإلكتروني</v>
      </c>
      <c r="H48" s="13">
        <f>IF(C48="buy", E48*VLOOKUP(D48, Products!A:F, 5, FALSE), IF(C48="sell", E48*VLOOKUP(D48, Products!A:F, 6, FALSE), 0))
</f>
        <v>9500</v>
      </c>
      <c r="I48" s="7"/>
    </row>
    <row r="49">
      <c r="A49" s="2" t="s">
        <v>141</v>
      </c>
      <c r="B49" s="12">
        <v>46239.0</v>
      </c>
      <c r="C49" s="14" t="s">
        <v>21</v>
      </c>
      <c r="D49" s="8" t="s">
        <v>22</v>
      </c>
      <c r="E49" s="10">
        <v>15.0</v>
      </c>
      <c r="F49" s="2" t="s">
        <v>24</v>
      </c>
      <c r="G49" s="16" t="str">
        <f t="array" ref="G49">_xlfn.XLOOKUP(D49, Products!A:A, Products!B:B, "Not Found")</f>
        <v>جهاز السكر المنزلي</v>
      </c>
      <c r="H49" s="13">
        <f>IF(C49="buy", E49*VLOOKUP(D49, Products!A:F, 5, FALSE), IF(C49="sell", E49*VLOOKUP(D49, Products!A:F, 6, FALSE), 0))
</f>
        <v>5700</v>
      </c>
      <c r="I49" s="7"/>
    </row>
    <row r="50">
      <c r="A50" s="2" t="s">
        <v>142</v>
      </c>
      <c r="B50" s="12">
        <v>46239.0</v>
      </c>
      <c r="C50" s="14" t="s">
        <v>21</v>
      </c>
      <c r="D50" s="8" t="s">
        <v>25</v>
      </c>
      <c r="E50" s="10">
        <v>10.0</v>
      </c>
      <c r="F50" s="2" t="s">
        <v>24</v>
      </c>
      <c r="G50" s="16" t="str">
        <f t="array" ref="G50">_xlfn.XLOOKUP(D50, Products!A:A, Products!B:B, "Not Found")</f>
        <v>مقياس الأكسجين المحمول</v>
      </c>
      <c r="H50" s="13">
        <f>IF(C50="buy", E50*VLOOKUP(D50, Products!A:F, 5, FALSE), IF(C50="sell", E50*VLOOKUP(D50, Products!A:F, 6, FALSE), 0))
</f>
        <v>3200</v>
      </c>
      <c r="I50" s="7"/>
    </row>
    <row r="51">
      <c r="A51" s="2" t="s">
        <v>143</v>
      </c>
      <c r="B51" s="12">
        <v>46240.0</v>
      </c>
      <c r="C51" s="14" t="s">
        <v>21</v>
      </c>
      <c r="D51" s="8" t="s">
        <v>27</v>
      </c>
      <c r="E51" s="10">
        <v>10.0</v>
      </c>
      <c r="F51" s="2" t="s">
        <v>24</v>
      </c>
      <c r="G51" s="16" t="str">
        <f t="array" ref="G51">_xlfn.XLOOKUP(D51, Products!A:A, Products!B:B, "Not Found")</f>
        <v>سماعة الطبيب الطبية</v>
      </c>
      <c r="H51" s="13">
        <f>IF(C51="buy", E51*VLOOKUP(D51, Products!A:F, 5, FALSE), IF(C51="sell", E51*VLOOKUP(D51, Products!A:F, 6, FALSE), 0))
</f>
        <v>4500</v>
      </c>
      <c r="I51" s="7"/>
    </row>
    <row r="52">
      <c r="A52" s="2" t="s">
        <v>144</v>
      </c>
      <c r="B52" s="12">
        <v>46240.0</v>
      </c>
      <c r="C52" s="14" t="s">
        <v>90</v>
      </c>
      <c r="D52" s="8" t="s">
        <v>14</v>
      </c>
      <c r="E52" s="10">
        <v>4.0</v>
      </c>
      <c r="F52" s="8" t="s">
        <v>99</v>
      </c>
      <c r="G52" s="16" t="str">
        <f t="array" ref="G52">_xlfn.XLOOKUP(D52, Products!A:A, Products!B:B, "Not Found")</f>
        <v>جهاز الضغط الإلكتروني</v>
      </c>
      <c r="H52" s="13">
        <f>IF(C52="buy", E52*VLOOKUP(D52, Products!A:F, 5, FALSE), IF(C52="sell", E52*VLOOKUP(D52, Products!A:F, 6, FALSE), 0))
</f>
        <v>5600</v>
      </c>
      <c r="I52" s="7"/>
    </row>
    <row r="53">
      <c r="A53" s="2" t="s">
        <v>145</v>
      </c>
      <c r="B53" s="12">
        <v>46240.0</v>
      </c>
      <c r="C53" s="14" t="s">
        <v>90</v>
      </c>
      <c r="D53" s="8" t="s">
        <v>22</v>
      </c>
      <c r="E53" s="10">
        <v>6.0</v>
      </c>
      <c r="F53" s="8" t="s">
        <v>101</v>
      </c>
      <c r="G53" s="16" t="str">
        <f t="array" ref="G53">_xlfn.XLOOKUP(D53, Products!A:A, Products!B:B, "Not Found")</f>
        <v>جهاز السكر المنزلي</v>
      </c>
      <c r="H53" s="13">
        <f>IF(C53="buy", E53*VLOOKUP(D53, Products!A:F, 5, FALSE), IF(C53="sell", E53*VLOOKUP(D53, Products!A:F, 6, FALSE), 0))
</f>
        <v>3300</v>
      </c>
      <c r="I53" s="7"/>
    </row>
    <row r="54">
      <c r="A54" s="2" t="s">
        <v>146</v>
      </c>
      <c r="B54" s="12">
        <v>46240.0</v>
      </c>
      <c r="C54" s="14" t="s">
        <v>90</v>
      </c>
      <c r="D54" s="8" t="s">
        <v>25</v>
      </c>
      <c r="E54" s="10">
        <v>5.0</v>
      </c>
      <c r="F54" s="8" t="s">
        <v>103</v>
      </c>
      <c r="G54" s="16" t="str">
        <f t="array" ref="G54">_xlfn.XLOOKUP(D54, Products!A:A, Products!B:B, "Not Found")</f>
        <v>مقياس الأكسجين المحمول</v>
      </c>
      <c r="H54" s="13">
        <f>IF(C54="buy", E54*VLOOKUP(D54, Products!A:F, 5, FALSE), IF(C54="sell", E54*VLOOKUP(D54, Products!A:F, 6, FALSE), 0))
</f>
        <v>2750</v>
      </c>
      <c r="I54" s="7"/>
    </row>
    <row r="55">
      <c r="A55" s="2" t="s">
        <v>147</v>
      </c>
      <c r="B55" s="12">
        <v>46240.0</v>
      </c>
      <c r="C55" s="14" t="s">
        <v>90</v>
      </c>
      <c r="D55" s="8" t="s">
        <v>27</v>
      </c>
      <c r="E55" s="10">
        <v>4.0</v>
      </c>
      <c r="F55" s="8" t="s">
        <v>105</v>
      </c>
      <c r="G55" s="16" t="str">
        <f t="array" ref="G55">_xlfn.XLOOKUP(D55, Products!A:A, Products!B:B, "Not Found")</f>
        <v>سماعة الطبيب الطبية</v>
      </c>
      <c r="H55" s="13">
        <f>IF(C55="buy", E55*VLOOKUP(D55, Products!A:F, 5, FALSE), IF(C55="sell", E55*VLOOKUP(D55, Products!A:F, 6, FALSE), 0))
</f>
        <v>3000</v>
      </c>
      <c r="I55" s="7"/>
    </row>
    <row r="56">
      <c r="A56" s="2" t="s">
        <v>148</v>
      </c>
      <c r="B56" s="12">
        <v>46240.0</v>
      </c>
      <c r="C56" s="14" t="s">
        <v>21</v>
      </c>
      <c r="D56" s="8" t="s">
        <v>29</v>
      </c>
      <c r="E56" s="10">
        <v>30.0</v>
      </c>
      <c r="F56" s="2" t="s">
        <v>24</v>
      </c>
      <c r="G56" s="16" t="str">
        <f t="array" ref="G56">_xlfn.XLOOKUP(D56, Products!A:A, Products!B:B, "Not Found")</f>
        <v>مقياس الحرارة الرقمي</v>
      </c>
      <c r="H56" s="13">
        <f>IF(C56="buy", E56*VLOOKUP(D56, Products!A:F, 5, FALSE), IF(C56="sell", E56*VLOOKUP(D56, Products!A:F, 6, FALSE), 0))
</f>
        <v>1650</v>
      </c>
      <c r="I56" s="7"/>
    </row>
    <row r="57">
      <c r="A57" s="2" t="s">
        <v>149</v>
      </c>
      <c r="B57" s="12">
        <v>46240.0</v>
      </c>
      <c r="C57" s="14" t="s">
        <v>21</v>
      </c>
      <c r="D57" s="8" t="s">
        <v>32</v>
      </c>
      <c r="E57" s="10">
        <v>20.0</v>
      </c>
      <c r="F57" s="2" t="s">
        <v>24</v>
      </c>
      <c r="G57" s="16" t="str">
        <f t="array" ref="G57">_xlfn.XLOOKUP(D57, Products!A:A, Products!B:B, "Not Found")</f>
        <v>ترمومتر ليزر عن بعد</v>
      </c>
      <c r="H57" s="13">
        <f>IF(C57="buy", E57*VLOOKUP(D57, Products!A:F, 5, FALSE), IF(C57="sell", E57*VLOOKUP(D57, Products!A:F, 6, FALSE), 0))
</f>
        <v>9600</v>
      </c>
      <c r="I57" s="7"/>
    </row>
    <row r="58">
      <c r="A58" s="2" t="s">
        <v>150</v>
      </c>
      <c r="B58" s="12">
        <v>46240.0</v>
      </c>
      <c r="C58" s="14" t="s">
        <v>90</v>
      </c>
      <c r="D58" s="8" t="s">
        <v>29</v>
      </c>
      <c r="E58" s="10">
        <v>10.0</v>
      </c>
      <c r="F58" s="8" t="s">
        <v>111</v>
      </c>
      <c r="G58" s="16" t="str">
        <f t="array" ref="G58">_xlfn.XLOOKUP(D58, Products!A:A, Products!B:B, "Not Found")</f>
        <v>مقياس الحرارة الرقمي</v>
      </c>
      <c r="H58" s="13">
        <f>IF(C58="buy", E58*VLOOKUP(D58, Products!A:F, 5, FALSE), IF(C58="sell", E58*VLOOKUP(D58, Products!A:F, 6, FALSE), 0))
</f>
        <v>900</v>
      </c>
      <c r="I58" s="7"/>
    </row>
    <row r="59">
      <c r="A59" s="2" t="s">
        <v>151</v>
      </c>
      <c r="B59" s="12">
        <v>46240.0</v>
      </c>
      <c r="C59" s="14" t="s">
        <v>90</v>
      </c>
      <c r="D59" s="8" t="s">
        <v>32</v>
      </c>
      <c r="E59" s="10">
        <v>5.0</v>
      </c>
      <c r="F59" s="8" t="s">
        <v>113</v>
      </c>
      <c r="G59" s="16" t="str">
        <f t="array" ref="G59">_xlfn.XLOOKUP(D59, Products!A:A, Products!B:B, "Not Found")</f>
        <v>ترمومتر ليزر عن بعد</v>
      </c>
      <c r="H59" s="13">
        <f>IF(C59="buy", E59*VLOOKUP(D59, Products!A:F, 5, FALSE), IF(C59="sell", E59*VLOOKUP(D59, Products!A:F, 6, FALSE), 0))
</f>
        <v>3500</v>
      </c>
      <c r="I59" s="7"/>
    </row>
    <row r="60">
      <c r="A60" s="2" t="s">
        <v>152</v>
      </c>
      <c r="B60" s="12">
        <v>46240.0</v>
      </c>
      <c r="C60" s="14" t="s">
        <v>90</v>
      </c>
      <c r="D60" s="8" t="s">
        <v>34</v>
      </c>
      <c r="E60" s="10">
        <v>1.0</v>
      </c>
      <c r="F60" s="8" t="s">
        <v>153</v>
      </c>
      <c r="G60" s="16" t="str">
        <f t="array" ref="G60">_xlfn.XLOOKUP(D60, Products!A:A, Products!B:B, "Not Found")</f>
        <v>جهاز رسم القلب المحمول</v>
      </c>
      <c r="H60" s="13">
        <f>IF(C60="buy", E60*VLOOKUP(D60, Products!A:F, 5, FALSE), IF(C60="sell", E60*VLOOKUP(D60, Products!A:F, 6, FALSE), 0))
</f>
        <v>33000</v>
      </c>
      <c r="I60" s="7"/>
    </row>
    <row r="61">
      <c r="A61" s="2" t="s">
        <v>154</v>
      </c>
      <c r="B61" s="12">
        <v>46240.0</v>
      </c>
      <c r="C61" s="14" t="s">
        <v>90</v>
      </c>
      <c r="D61" s="8" t="s">
        <v>32</v>
      </c>
      <c r="E61" s="10">
        <v>3.0</v>
      </c>
      <c r="F61" s="8" t="s">
        <v>155</v>
      </c>
      <c r="G61" s="16" t="str">
        <f t="array" ref="G61">_xlfn.XLOOKUP(D61, Products!A:A, Products!B:B, "Not Found")</f>
        <v>ترمومتر ليزر عن بعد</v>
      </c>
      <c r="H61" s="13">
        <f>IF(C61="buy", E61*VLOOKUP(D61, Products!A:F, 5, FALSE), IF(C61="sell", E61*VLOOKUP(D61, Products!A:F, 6, FALSE), 0))
</f>
        <v>2100</v>
      </c>
      <c r="I61" s="7"/>
    </row>
    <row r="62">
      <c r="A62" s="2" t="s">
        <v>156</v>
      </c>
      <c r="B62" s="12">
        <v>46240.0</v>
      </c>
      <c r="C62" s="14" t="s">
        <v>90</v>
      </c>
      <c r="D62" s="8" t="s">
        <v>42</v>
      </c>
      <c r="E62" s="10">
        <v>5.0</v>
      </c>
      <c r="F62" s="8" t="s">
        <v>133</v>
      </c>
      <c r="G62" s="16" t="str">
        <f t="array" ref="G62">_xlfn.XLOOKUP(D62, Products!A:A, Products!B:B, "Not Found")</f>
        <v>قفازات نيتريل معقمة (علبة)</v>
      </c>
      <c r="H62" s="13">
        <f>IF(C62="buy", E62*VLOOKUP(D62, Products!A:F, 5, FALSE), IF(C62="sell", E62*VLOOKUP(D62, Products!A:F, 6, FALSE), 0))
</f>
        <v>1300</v>
      </c>
      <c r="I62" s="7"/>
    </row>
    <row r="63">
      <c r="A63" s="2" t="s">
        <v>157</v>
      </c>
      <c r="B63" s="12">
        <v>46240.0</v>
      </c>
      <c r="C63" s="14" t="s">
        <v>90</v>
      </c>
      <c r="D63" s="8" t="s">
        <v>36</v>
      </c>
      <c r="E63" s="10">
        <v>2.0</v>
      </c>
      <c r="F63" s="8" t="s">
        <v>135</v>
      </c>
      <c r="G63" s="16" t="str">
        <f t="array" ref="G63">_xlfn.XLOOKUP(D63, Products!A:A, Products!B:B, "Not Found")</f>
        <v>مصباح الفحص اليدوي</v>
      </c>
      <c r="H63" s="13">
        <f>IF(C63="buy", E63*VLOOKUP(D63, Products!A:F, 5, FALSE), IF(C63="sell", E63*VLOOKUP(D63, Products!A:F, 6, FALSE), 0))
</f>
        <v>300</v>
      </c>
      <c r="I63" s="7"/>
    </row>
    <row r="64">
      <c r="A64" s="2" t="s">
        <v>158</v>
      </c>
      <c r="B64" s="12">
        <v>46241.0</v>
      </c>
      <c r="C64" s="14" t="s">
        <v>21</v>
      </c>
      <c r="D64" s="8" t="s">
        <v>54</v>
      </c>
      <c r="E64" s="10">
        <v>50.0</v>
      </c>
      <c r="F64" s="8" t="s">
        <v>83</v>
      </c>
      <c r="G64" s="16" t="str">
        <f t="array" ref="G64">_xlfn.XLOOKUP(D64, Products!A:A, Products!B:B, "Not Found")</f>
        <v>شاش طبي معقم</v>
      </c>
      <c r="H64" s="13">
        <f>IF(C64="buy", E64*VLOOKUP(D64, Products!A:F, 5, FALSE), IF(C64="sell", E64*VLOOKUP(D64, Products!A:F, 6, FALSE), 0))
</f>
        <v>7500</v>
      </c>
      <c r="I64" s="7"/>
    </row>
    <row r="65">
      <c r="A65" s="2" t="s">
        <v>159</v>
      </c>
      <c r="B65" s="12">
        <v>46241.0</v>
      </c>
      <c r="C65" s="14" t="s">
        <v>21</v>
      </c>
      <c r="D65" s="8" t="s">
        <v>57</v>
      </c>
      <c r="E65" s="10">
        <v>40.0</v>
      </c>
      <c r="F65" s="8" t="s">
        <v>83</v>
      </c>
      <c r="G65" s="16" t="str">
        <f t="array" ref="G65">_xlfn.XLOOKUP(D65, Products!A:A, Products!B:B, "Not Found")</f>
        <v>بكرة قطن طبي (كيلو)</v>
      </c>
      <c r="H65" s="13">
        <f>IF(C65="buy", E65*VLOOKUP(D65, Products!A:F, 5, FALSE), IF(C65="sell", E65*VLOOKUP(D65, Products!A:F, 6, FALSE), 0))
</f>
        <v>6600</v>
      </c>
      <c r="I65" s="7"/>
    </row>
    <row r="66">
      <c r="A66" s="2" t="s">
        <v>160</v>
      </c>
      <c r="B66" s="12">
        <v>46241.0</v>
      </c>
      <c r="C66" s="14" t="s">
        <v>21</v>
      </c>
      <c r="D66" s="8" t="s">
        <v>60</v>
      </c>
      <c r="E66" s="10">
        <v>20.0</v>
      </c>
      <c r="F66" s="8" t="s">
        <v>83</v>
      </c>
      <c r="G66" s="16" t="str">
        <f t="array" ref="G66">_xlfn.XLOOKUP(D66, Products!A:A, Products!B:B, "Not Found")</f>
        <v>كحول إيثيلي 70% (جالون)</v>
      </c>
      <c r="H66" s="13">
        <f>IF(C66="buy", E66*VLOOKUP(D66, Products!A:F, 5, FALSE), IF(C66="sell", E66*VLOOKUP(D66, Products!A:F, 6, FALSE), 0))
</f>
        <v>5200</v>
      </c>
      <c r="I66" s="7"/>
    </row>
    <row r="67">
      <c r="A67" s="2" t="s">
        <v>161</v>
      </c>
      <c r="B67" s="12">
        <v>46241.0</v>
      </c>
      <c r="C67" s="14" t="s">
        <v>21</v>
      </c>
      <c r="D67" s="8" t="s">
        <v>63</v>
      </c>
      <c r="E67" s="10">
        <v>15.0</v>
      </c>
      <c r="F67" s="8" t="s">
        <v>83</v>
      </c>
      <c r="G67" s="16" t="str">
        <f t="array" ref="G67">_xlfn.XLOOKUP(D67, Products!A:A, Products!B:B, "Not Found")</f>
        <v>جل السونار الطبي (جالون)</v>
      </c>
      <c r="H67" s="13">
        <f>IF(C67="buy", E67*VLOOKUP(D67, Products!A:F, 5, FALSE), IF(C67="sell", E67*VLOOKUP(D67, Products!A:F, 6, FALSE), 0))
</f>
        <v>2325</v>
      </c>
      <c r="I67" s="7"/>
    </row>
    <row r="68">
      <c r="A68" s="7"/>
      <c r="B68" s="7"/>
      <c r="C68" s="7"/>
      <c r="D68" s="7"/>
      <c r="E68" s="7"/>
      <c r="F68" s="7"/>
      <c r="G68" s="7"/>
      <c r="H68" s="13">
        <f>IF(C68="buy", E68*VLOOKUP(D68, Products!A:F, 5, FALSE), IF(C68="sell", E68*VLOOKUP(D68, Products!A:F, 6, FALSE), 0))
</f>
        <v>0</v>
      </c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7.13"/>
  </cols>
  <sheetData>
    <row r="1">
      <c r="A1" s="2" t="s">
        <v>0</v>
      </c>
      <c r="B1" s="4" t="s">
        <v>2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  <c r="H1" s="2"/>
    </row>
    <row r="2">
      <c r="A2" s="8" t="s">
        <v>14</v>
      </c>
      <c r="B2" s="15" t="str">
        <f t="array" ref="B2">_xlfn.XLOOKUP(A2, Products!A:A, Products!B:B, "Not Found")</f>
        <v>جهاز الضغط الإلكتروني</v>
      </c>
      <c r="C2" s="2" t="str">
        <f t="array" ref="C2">_xlfn.XLOOKUP(A2, Products!A:A, Products!D:D, "")</f>
        <v>قطع</v>
      </c>
      <c r="D2" s="16">
        <f>SUMIFS(Transactions!E:E, Transactions!D:D, A2, Transactions!C:C, "buy")</f>
        <v>25</v>
      </c>
      <c r="E2" s="16">
        <f>SUMIFS(Transactions!E:E, Transactions!D:D, A2, Transactions!C:C, "sell")</f>
        <v>12</v>
      </c>
      <c r="F2" s="16">
        <f t="shared" ref="F2:F21" si="1">D2 - E2</f>
        <v>13</v>
      </c>
      <c r="G2" s="2" t="str">
        <f t="array" ref="G2">IF(F2&lt;=_xlfn.XLOOKUP(A2, Products!A:A, Products!G:G, 0), "Reorder 🚨", "Safe ✅")</f>
        <v>Safe ✅</v>
      </c>
      <c r="H2" s="7"/>
    </row>
    <row r="3">
      <c r="A3" s="8" t="s">
        <v>22</v>
      </c>
      <c r="B3" s="15" t="str">
        <f t="array" ref="B3">_xlfn.XLOOKUP(A3, Products!A:A, Products!B:B, "Not Found")</f>
        <v>جهاز السكر المنزلي</v>
      </c>
      <c r="C3" s="2" t="str">
        <f t="array" ref="C3">_xlfn.XLOOKUP(A3, Products!A:A, Products!D:D, "")</f>
        <v>قطع</v>
      </c>
      <c r="D3" s="16">
        <f>SUMIFS(Transactions!E:E, Transactions!D:D, A3, Transactions!C:C, "buy")</f>
        <v>45</v>
      </c>
      <c r="E3" s="16">
        <f>SUMIFS(Transactions!E:E, Transactions!D:D, A3, Transactions!C:C, "sell")</f>
        <v>15</v>
      </c>
      <c r="F3" s="16">
        <f t="shared" si="1"/>
        <v>30</v>
      </c>
      <c r="G3" s="2" t="str">
        <f t="array" ref="G3">IF(F3&lt;=_xlfn.XLOOKUP(A3, Products!A:A, Products!G:G, 0), "Reorder 🚨", "Safe ✅")</f>
        <v>Safe ✅</v>
      </c>
      <c r="H3" s="7"/>
    </row>
    <row r="4">
      <c r="A4" s="8" t="s">
        <v>25</v>
      </c>
      <c r="B4" s="15" t="str">
        <f t="array" ref="B4">_xlfn.XLOOKUP(A4, Products!A:A, Products!B:B, "Not Found")</f>
        <v>مقياس الأكسجين المحمول</v>
      </c>
      <c r="C4" s="2" t="str">
        <f t="array" ref="C4">_xlfn.XLOOKUP(A4, Products!A:A, Products!D:D, "")</f>
        <v>قطع</v>
      </c>
      <c r="D4" s="16">
        <f>SUMIFS(Transactions!E:E, Transactions!D:D, A4, Transactions!C:C, "buy")</f>
        <v>25</v>
      </c>
      <c r="E4" s="16">
        <f>SUMIFS(Transactions!E:E, Transactions!D:D, A4, Transactions!C:C, "sell")</f>
        <v>9</v>
      </c>
      <c r="F4" s="16">
        <f t="shared" si="1"/>
        <v>16</v>
      </c>
      <c r="G4" s="2" t="str">
        <f t="array" ref="G4">IF(F4&lt;=_xlfn.XLOOKUP(A4, Products!A:A, Products!G:G, 0), "Reorder 🚨", "Safe ✅")</f>
        <v>Safe ✅</v>
      </c>
      <c r="H4" s="7"/>
    </row>
    <row r="5">
      <c r="A5" s="8" t="s">
        <v>27</v>
      </c>
      <c r="B5" s="15" t="str">
        <f t="array" ref="B5">_xlfn.XLOOKUP(A5, Products!A:A, Products!B:B, "Not Found")</f>
        <v>سماعة الطبيب الطبية</v>
      </c>
      <c r="C5" s="2" t="str">
        <f t="array" ref="C5">_xlfn.XLOOKUP(A5, Products!A:A, Products!D:D, "")</f>
        <v>قطع</v>
      </c>
      <c r="D5" s="16">
        <f>SUMIFS(Transactions!E:E, Transactions!D:D, A5, Transactions!C:C, "buy")</f>
        <v>30</v>
      </c>
      <c r="E5" s="16">
        <f>SUMIFS(Transactions!E:E, Transactions!D:D, A5, Transactions!C:C, "sell")</f>
        <v>7</v>
      </c>
      <c r="F5" s="16">
        <f t="shared" si="1"/>
        <v>23</v>
      </c>
      <c r="G5" s="2" t="str">
        <f t="array" ref="G5">IF(F5&lt;=_xlfn.XLOOKUP(A5, Products!A:A, Products!G:G, 0), "Reorder 🚨", "Safe ✅")</f>
        <v>Safe ✅</v>
      </c>
      <c r="H5" s="7"/>
    </row>
    <row r="6">
      <c r="A6" s="8" t="s">
        <v>29</v>
      </c>
      <c r="B6" s="15" t="str">
        <f t="array" ref="B6">_xlfn.XLOOKUP(A6, Products!A:A, Products!B:B, "Not Found")</f>
        <v>مقياس الحرارة الرقمي</v>
      </c>
      <c r="C6" s="2" t="str">
        <f t="array" ref="C6">_xlfn.XLOOKUP(A6, Products!A:A, Products!D:D, "")</f>
        <v>قطعة</v>
      </c>
      <c r="D6" s="16">
        <f>SUMIFS(Transactions!E:E, Transactions!D:D, A6, Transactions!C:C, "buy")</f>
        <v>80</v>
      </c>
      <c r="E6" s="16">
        <f>SUMIFS(Transactions!E:E, Transactions!D:D, A6, Transactions!C:C, "sell")</f>
        <v>25</v>
      </c>
      <c r="F6" s="16">
        <f t="shared" si="1"/>
        <v>55</v>
      </c>
      <c r="G6" s="2" t="str">
        <f t="array" ref="G6">IF(F6&lt;=_xlfn.XLOOKUP(A6, Products!A:A, Products!G:G, 0), "Reorder 🚨", "Safe ✅")</f>
        <v>Safe ✅</v>
      </c>
      <c r="H6" s="7"/>
    </row>
    <row r="7">
      <c r="A7" s="8" t="s">
        <v>32</v>
      </c>
      <c r="B7" s="15" t="str">
        <f t="array" ref="B7">_xlfn.XLOOKUP(A7, Products!A:A, Products!B:B, "Not Found")</f>
        <v>ترمومتر ليزر عن بعد</v>
      </c>
      <c r="C7" s="2" t="str">
        <f t="array" ref="C7">_xlfn.XLOOKUP(A7, Products!A:A, Products!D:D, "")</f>
        <v>قطع</v>
      </c>
      <c r="D7" s="16">
        <f>SUMIFS(Transactions!E:E, Transactions!D:D, A7, Transactions!C:C, "buy")</f>
        <v>35</v>
      </c>
      <c r="E7" s="16">
        <f>SUMIFS(Transactions!E:E, Transactions!D:D, A7, Transactions!C:C, "sell")</f>
        <v>11</v>
      </c>
      <c r="F7" s="16">
        <f t="shared" si="1"/>
        <v>24</v>
      </c>
      <c r="G7" s="2" t="str">
        <f t="array" ref="G7">IF(F7&lt;=_xlfn.XLOOKUP(A7, Products!A:A, Products!G:G, 0), "Reorder 🚨", "Safe ✅")</f>
        <v>Safe ✅</v>
      </c>
      <c r="H7" s="7"/>
    </row>
    <row r="8">
      <c r="A8" s="8" t="s">
        <v>34</v>
      </c>
      <c r="B8" s="15" t="str">
        <f t="array" ref="B8">_xlfn.XLOOKUP(A8, Products!A:A, Products!B:B, "Not Found")</f>
        <v>جهاز رسم القلب المحمول</v>
      </c>
      <c r="C8" s="2" t="str">
        <f t="array" ref="C8">_xlfn.XLOOKUP(A8, Products!A:A, Products!D:D, "")</f>
        <v>قطعة</v>
      </c>
      <c r="D8" s="16">
        <f>SUMIFS(Transactions!E:E, Transactions!D:D, A8, Transactions!C:C, "buy")</f>
        <v>2</v>
      </c>
      <c r="E8" s="16">
        <f>SUMIFS(Transactions!E:E, Transactions!D:D, A8, Transactions!C:C, "sell")</f>
        <v>2</v>
      </c>
      <c r="F8" s="16">
        <f t="shared" si="1"/>
        <v>0</v>
      </c>
      <c r="G8" s="2" t="str">
        <f t="array" ref="G8">IF(F8&lt;=_xlfn.XLOOKUP(A8, Products!A:A, Products!G:G, 0), "Reorder 🚨", "Safe ✅")</f>
        <v>Reorder 🚨</v>
      </c>
      <c r="H8" s="7"/>
    </row>
    <row r="9">
      <c r="A9" s="8" t="s">
        <v>36</v>
      </c>
      <c r="B9" s="15" t="str">
        <f t="array" ref="B9">_xlfn.XLOOKUP(A9, Products!A:A, Products!B:B, "Not Found")</f>
        <v>مصباح الفحص اليدوي</v>
      </c>
      <c r="C9" s="2" t="str">
        <f t="array" ref="C9">_xlfn.XLOOKUP(A9, Products!A:A, Products!D:D, "")</f>
        <v>قطع</v>
      </c>
      <c r="D9" s="16">
        <f>SUMIFS(Transactions!E:E, Transactions!D:D, A9, Transactions!C:C, "buy")</f>
        <v>25</v>
      </c>
      <c r="E9" s="16">
        <f>SUMIFS(Transactions!E:E, Transactions!D:D, A9, Transactions!C:C, "sell")</f>
        <v>5</v>
      </c>
      <c r="F9" s="16">
        <f t="shared" si="1"/>
        <v>20</v>
      </c>
      <c r="G9" s="2" t="str">
        <f t="array" ref="G9">IF(F9&lt;=_xlfn.XLOOKUP(A9, Products!A:A, Products!G:G, 0), "Reorder 🚨", "Safe ✅")</f>
        <v>Safe ✅</v>
      </c>
      <c r="H9" s="7"/>
    </row>
    <row r="10">
      <c r="A10" s="8" t="s">
        <v>38</v>
      </c>
      <c r="B10" s="15" t="str">
        <f t="array" ref="B10">_xlfn.XLOOKUP(A10, Products!A:A, Products!B:B, "Not Found")</f>
        <v>مطرقة فحص الأعصاب</v>
      </c>
      <c r="C10" s="2" t="str">
        <f t="array" ref="C10">_xlfn.XLOOKUP(A10, Products!A:A, Products!D:D, "")</f>
        <v>قطع</v>
      </c>
      <c r="D10" s="16">
        <f>SUMIFS(Transactions!E:E, Transactions!D:D, A10, Transactions!C:C, "buy")</f>
        <v>25</v>
      </c>
      <c r="E10" s="16">
        <f>SUMIFS(Transactions!E:E, Transactions!D:D, A10, Transactions!C:C, "sell")</f>
        <v>3</v>
      </c>
      <c r="F10" s="16">
        <f t="shared" si="1"/>
        <v>22</v>
      </c>
      <c r="G10" s="2" t="str">
        <f t="array" ref="G10">IF(F10&lt;=_xlfn.XLOOKUP(A10, Products!A:A, Products!G:G, 0), "Reorder 🚨", "Safe ✅")</f>
        <v>Safe ✅</v>
      </c>
      <c r="H10" s="7"/>
    </row>
    <row r="11">
      <c r="A11" s="8" t="s">
        <v>40</v>
      </c>
      <c r="B11" s="15" t="str">
        <f t="array" ref="B11">_xlfn.XLOOKUP(A11, Products!A:A, Products!B:B, "Not Found")</f>
        <v>منظار الأذن الطبي</v>
      </c>
      <c r="C11" s="2" t="str">
        <f t="array" ref="C11">_xlfn.XLOOKUP(A11, Products!A:A, Products!D:D, "")</f>
        <v>قطعة</v>
      </c>
      <c r="D11" s="16">
        <f>SUMIFS(Transactions!E:E, Transactions!D:D, A11, Transactions!C:C, "buy")</f>
        <v>10</v>
      </c>
      <c r="E11" s="16">
        <f>SUMIFS(Transactions!E:E, Transactions!D:D, A11, Transactions!C:C, "sell")</f>
        <v>2</v>
      </c>
      <c r="F11" s="16">
        <f t="shared" si="1"/>
        <v>8</v>
      </c>
      <c r="G11" s="2" t="str">
        <f t="array" ref="G11">IF(F11&lt;=_xlfn.XLOOKUP(A11, Products!A:A, Products!G:G, 0), "Reorder 🚨", "Safe ✅")</f>
        <v>Safe ✅</v>
      </c>
      <c r="H11" s="7"/>
    </row>
    <row r="12">
      <c r="A12" s="8" t="s">
        <v>42</v>
      </c>
      <c r="B12" s="15" t="str">
        <f t="array" ref="B12">_xlfn.XLOOKUP(A12, Products!A:A, Products!B:B, "Not Found")</f>
        <v>قفازات نيتريل معقمة (علبة)</v>
      </c>
      <c r="C12" s="2" t="str">
        <f t="array" ref="C12">_xlfn.XLOOKUP(A12, Products!A:A, Products!D:D, "")</f>
        <v>علبة</v>
      </c>
      <c r="D12" s="16">
        <f>SUMIFS(Transactions!E:E, Transactions!D:D, A12, Transactions!C:C, "buy")</f>
        <v>150</v>
      </c>
      <c r="E12" s="16">
        <f>SUMIFS(Transactions!E:E, Transactions!D:D, A12, Transactions!C:C, "sell")</f>
        <v>65</v>
      </c>
      <c r="F12" s="16">
        <f t="shared" si="1"/>
        <v>85</v>
      </c>
      <c r="G12" s="2" t="str">
        <f t="array" ref="G12">IF(F12&lt;=_xlfn.XLOOKUP(A12, Products!A:A, Products!G:G, 0), "Reorder 🚨", "Safe ✅")</f>
        <v>Safe ✅</v>
      </c>
      <c r="H12" s="7"/>
    </row>
    <row r="13">
      <c r="A13" s="8" t="s">
        <v>46</v>
      </c>
      <c r="B13" s="15" t="str">
        <f t="array" ref="B13">_xlfn.XLOOKUP(A13, Products!A:A, Products!B:B, "Not Found")</f>
        <v>كمامات جراحية (علبة)</v>
      </c>
      <c r="C13" s="2" t="str">
        <f t="array" ref="C13">_xlfn.XLOOKUP(A13, Products!A:A, Products!D:D, "")</f>
        <v>علبة</v>
      </c>
      <c r="D13" s="16">
        <f>SUMIFS(Transactions!E:E, Transactions!D:D, A13, Transactions!C:C, "buy")</f>
        <v>300</v>
      </c>
      <c r="E13" s="16">
        <f>SUMIFS(Transactions!E:E, Transactions!D:D, A13, Transactions!C:C, "sell")</f>
        <v>80</v>
      </c>
      <c r="F13" s="16">
        <f t="shared" si="1"/>
        <v>220</v>
      </c>
      <c r="G13" s="2" t="str">
        <f t="array" ref="G13">IF(F13&lt;=_xlfn.XLOOKUP(A13, Products!A:A, Products!G:G, 0), "Reorder 🚨", "Safe ✅")</f>
        <v>Safe ✅</v>
      </c>
      <c r="H13" s="7"/>
    </row>
    <row r="14">
      <c r="A14" s="8" t="s">
        <v>48</v>
      </c>
      <c r="B14" s="15" t="str">
        <f t="array" ref="B14">_xlfn.XLOOKUP(A14, Products!A:A, Products!B:B, "Not Found")</f>
        <v>سرنجات مقاس 3 مل (علبة)</v>
      </c>
      <c r="C14" s="2" t="str">
        <f t="array" ref="C14">_xlfn.XLOOKUP(A14, Products!A:A, Products!D:D, "")</f>
        <v>علبة</v>
      </c>
      <c r="D14" s="16">
        <f>SUMIFS(Transactions!E:E, Transactions!D:D, A14, Transactions!C:C, "buy")</f>
        <v>80</v>
      </c>
      <c r="E14" s="16">
        <f>SUMIFS(Transactions!E:E, Transactions!D:D, A14, Transactions!C:C, "sell")</f>
        <v>15</v>
      </c>
      <c r="F14" s="16">
        <f t="shared" si="1"/>
        <v>65</v>
      </c>
      <c r="G14" s="2" t="str">
        <f t="array" ref="G14">IF(F14&lt;=_xlfn.XLOOKUP(A14, Products!A:A, Products!G:G, 0), "Reorder 🚨", "Safe ✅")</f>
        <v>Safe ✅</v>
      </c>
      <c r="H14" s="7"/>
    </row>
    <row r="15">
      <c r="A15" s="8" t="s">
        <v>50</v>
      </c>
      <c r="B15" s="15" t="str">
        <f t="array" ref="B15">_xlfn.XLOOKUP(A15, Products!A:A, Products!B:B, "Not Found")</f>
        <v>كانيولا وريدية زرقاء (علبة)</v>
      </c>
      <c r="C15" s="2" t="str">
        <f t="array" ref="C15">_xlfn.XLOOKUP(A15, Products!A:A, Products!D:D, "")</f>
        <v>علبة</v>
      </c>
      <c r="D15" s="16">
        <f>SUMIFS(Transactions!E:E, Transactions!D:D, A15, Transactions!C:C, "buy")</f>
        <v>150</v>
      </c>
      <c r="E15" s="16">
        <f>SUMIFS(Transactions!E:E, Transactions!D:D, A15, Transactions!C:C, "sell")</f>
        <v>10</v>
      </c>
      <c r="F15" s="16">
        <f t="shared" si="1"/>
        <v>140</v>
      </c>
      <c r="G15" s="2" t="str">
        <f t="array" ref="G15">IF(F15&lt;=_xlfn.XLOOKUP(A15, Products!A:A, Products!G:G, 0), "Reorder 🚨", "Safe ✅")</f>
        <v>Safe ✅</v>
      </c>
      <c r="H15" s="7"/>
    </row>
    <row r="16">
      <c r="A16" s="8" t="s">
        <v>52</v>
      </c>
      <c r="B16" s="15" t="str">
        <f t="array" ref="B16">_xlfn.XLOOKUP(A16, Products!A:A, Products!B:B, "Not Found")</f>
        <v>شرائط فحص السكر (علبة)</v>
      </c>
      <c r="C16" s="2" t="str">
        <f t="array" ref="C16">_xlfn.XLOOKUP(A16, Products!A:A, Products!D:D, "")</f>
        <v>علبة</v>
      </c>
      <c r="D16" s="16">
        <f>SUMIFS(Transactions!E:E, Transactions!D:D, A16, Transactions!C:C, "buy")</f>
        <v>100</v>
      </c>
      <c r="E16" s="16">
        <f>SUMIFS(Transactions!E:E, Transactions!D:D, A16, Transactions!C:C, "sell")</f>
        <v>25</v>
      </c>
      <c r="F16" s="16">
        <f t="shared" si="1"/>
        <v>75</v>
      </c>
      <c r="G16" s="2" t="str">
        <f t="array" ref="G16">IF(F16&lt;=_xlfn.XLOOKUP(A16, Products!A:A, Products!G:G, 0), "Reorder 🚨", "Safe ✅")</f>
        <v>Safe ✅</v>
      </c>
      <c r="H16" s="7"/>
    </row>
    <row r="17">
      <c r="A17" s="8" t="s">
        <v>54</v>
      </c>
      <c r="B17" s="15" t="str">
        <f t="array" ref="B17">_xlfn.XLOOKUP(A17, Products!A:A, Products!B:B, "Not Found")</f>
        <v>شاش طبي معقم</v>
      </c>
      <c r="C17" s="2" t="str">
        <f t="array" ref="C17">_xlfn.XLOOKUP(A17, Products!A:A, Products!D:D, "")</f>
        <v>باكيت</v>
      </c>
      <c r="D17" s="16">
        <f>SUMIFS(Transactions!E:E, Transactions!D:D, A17, Transactions!C:C, "buy")</f>
        <v>130</v>
      </c>
      <c r="E17" s="16">
        <f>SUMIFS(Transactions!E:E, Transactions!D:D, A17, Transactions!C:C, "sell")</f>
        <v>15</v>
      </c>
      <c r="F17" s="16">
        <f t="shared" si="1"/>
        <v>115</v>
      </c>
      <c r="G17" s="2" t="str">
        <f t="array" ref="G17">IF(F17&lt;=_xlfn.XLOOKUP(A17, Products!A:A, Products!G:G, 0), "Reorder 🚨", "Safe ✅")</f>
        <v>Safe ✅</v>
      </c>
      <c r="H17" s="7"/>
    </row>
    <row r="18">
      <c r="A18" s="8" t="s">
        <v>57</v>
      </c>
      <c r="B18" s="15" t="str">
        <f t="array" ref="B18">_xlfn.XLOOKUP(A18, Products!A:A, Products!B:B, "Not Found")</f>
        <v>بكرة قطن طبي (كيلو)</v>
      </c>
      <c r="C18" s="2" t="str">
        <f t="array" ref="C18">_xlfn.XLOOKUP(A18, Products!A:A, Products!D:D, "")</f>
        <v>بكرات</v>
      </c>
      <c r="D18" s="16">
        <f>SUMIFS(Transactions!E:E, Transactions!D:D, A18, Transactions!C:C, "buy")</f>
        <v>120</v>
      </c>
      <c r="E18" s="16">
        <f>SUMIFS(Transactions!E:E, Transactions!D:D, A18, Transactions!C:C, "sell")</f>
        <v>10</v>
      </c>
      <c r="F18" s="16">
        <f t="shared" si="1"/>
        <v>110</v>
      </c>
      <c r="G18" s="2" t="str">
        <f t="array" ref="G18">IF(F18&lt;=_xlfn.XLOOKUP(A18, Products!A:A, Products!G:G, 0), "Reorder 🚨", "Safe ✅")</f>
        <v>Safe ✅</v>
      </c>
      <c r="H18" s="7"/>
    </row>
    <row r="19">
      <c r="A19" s="8" t="s">
        <v>60</v>
      </c>
      <c r="B19" s="15" t="str">
        <f t="array" ref="B19">_xlfn.XLOOKUP(A19, Products!A:A, Products!B:B, "Not Found")</f>
        <v>كحول إيثيلي 70% (جالون)</v>
      </c>
      <c r="C19" s="2" t="str">
        <f t="array" ref="C19">_xlfn.XLOOKUP(A19, Products!A:A, Products!D:D, "")</f>
        <v>جالونات</v>
      </c>
      <c r="D19" s="16">
        <f>SUMIFS(Transactions!E:E, Transactions!D:D, A19, Transactions!C:C, "buy")</f>
        <v>80</v>
      </c>
      <c r="E19" s="16">
        <f>SUMIFS(Transactions!E:E, Transactions!D:D, A19, Transactions!C:C, "sell")</f>
        <v>5</v>
      </c>
      <c r="F19" s="16">
        <f t="shared" si="1"/>
        <v>75</v>
      </c>
      <c r="G19" s="2" t="str">
        <f t="array" ref="G19">IF(F19&lt;=_xlfn.XLOOKUP(A19, Products!A:A, Products!G:G, 0), "Reorder 🚨", "Safe ✅")</f>
        <v>Safe ✅</v>
      </c>
      <c r="H19" s="7"/>
    </row>
    <row r="20">
      <c r="A20" s="8" t="s">
        <v>63</v>
      </c>
      <c r="B20" s="15" t="str">
        <f t="array" ref="B20">_xlfn.XLOOKUP(A20, Products!A:A, Products!B:B, "Not Found")</f>
        <v>جل السونار الطبي (جالون)</v>
      </c>
      <c r="C20" s="2" t="str">
        <f t="array" ref="C20">_xlfn.XLOOKUP(A20, Products!A:A, Products!D:D, "")</f>
        <v>جالونات</v>
      </c>
      <c r="D20" s="16">
        <f>SUMIFS(Transactions!E:E, Transactions!D:D, A20, Transactions!C:C, "buy")</f>
        <v>65</v>
      </c>
      <c r="E20" s="16">
        <f>SUMIFS(Transactions!E:E, Transactions!D:D, A20, Transactions!C:C, "sell")</f>
        <v>4</v>
      </c>
      <c r="F20" s="16">
        <f t="shared" si="1"/>
        <v>61</v>
      </c>
      <c r="G20" s="2" t="str">
        <f t="array" ref="G20">IF(F20&lt;=_xlfn.XLOOKUP(A20, Products!A:A, Products!G:G, 0), "Reorder 🚨", "Safe ✅")</f>
        <v>Safe ✅</v>
      </c>
      <c r="H20" s="7"/>
    </row>
    <row r="21">
      <c r="A21" s="8" t="s">
        <v>66</v>
      </c>
      <c r="B21" s="15" t="str">
        <f t="array" ref="B21">_xlfn.XLOOKUP(A21, Products!A:A, Products!B:B, "Not Found")</f>
        <v>بلاستر طبي للجروح (علبة)</v>
      </c>
      <c r="C21" s="2" t="str">
        <f t="array" ref="C21">_xlfn.XLOOKUP(A21, Products!A:A, Products!D:D, "")</f>
        <v>علبة</v>
      </c>
      <c r="D21" s="16">
        <f>SUMIFS(Transactions!E:E, Transactions!D:D, A21, Transactions!C:C, "buy")</f>
        <v>100</v>
      </c>
      <c r="E21" s="16">
        <f>SUMIFS(Transactions!E:E, Transactions!D:D, A21, Transactions!C:C, "sell")</f>
        <v>15</v>
      </c>
      <c r="F21" s="16">
        <f t="shared" si="1"/>
        <v>85</v>
      </c>
      <c r="G21" s="2" t="str">
        <f t="array" ref="G21">IF(F21&lt;=_xlfn.XLOOKUP(A21, Products!A:A, Products!G:G, 0), "Reorder 🚨", "Safe ✅")</f>
        <v>Safe ✅</v>
      </c>
      <c r="H21" s="7"/>
    </row>
    <row r="22">
      <c r="A22" s="7"/>
      <c r="B22" s="18"/>
      <c r="C22" s="7"/>
      <c r="D22" s="7"/>
      <c r="E22" s="7"/>
      <c r="F22" s="7"/>
      <c r="G22" s="7"/>
      <c r="H22" s="7"/>
    </row>
  </sheetData>
  <drawing r:id="rId1"/>
</worksheet>
</file>